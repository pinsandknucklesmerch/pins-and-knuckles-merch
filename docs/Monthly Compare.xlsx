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1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4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5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7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884ef4d32bdc44/Documents/desktop/data/"/>
    </mc:Choice>
  </mc:AlternateContent>
  <xr:revisionPtr revIDLastSave="209" documentId="13_ncr:1_{05B7F521-DCDA-49A6-AD67-3699CDE52820}" xr6:coauthVersionLast="47" xr6:coauthVersionMax="47" xr10:uidLastSave="{18436C0C-B6AC-4A22-90CB-147FBD6442E9}"/>
  <bookViews>
    <workbookView xWindow="28680" yWindow="-30" windowWidth="29040" windowHeight="15720" activeTab="2" xr2:uid="{11F89E04-E319-471B-A38D-6CA5A1029002}"/>
  </bookViews>
  <sheets>
    <sheet name="Enquiries" sheetId="1" r:id="rId1"/>
    <sheet name="Conversions" sheetId="4" r:id="rId2"/>
    <sheet name="Profit" sheetId="3" r:id="rId3"/>
    <sheet name="Profit Per" sheetId="7" r:id="rId4"/>
    <sheet name="JAN per sales rep" sheetId="5" r:id="rId5"/>
    <sheet name="FEB per sales rep" sheetId="6" r:id="rId6"/>
    <sheet name="MARCH per sales rep" sheetId="8" r:id="rId7"/>
    <sheet name="APRIL per sales rep" sheetId="9" r:id="rId8"/>
    <sheet name="MAY per sales rep" sheetId="11" r:id="rId9"/>
    <sheet name="JUNE per sales rep" sheetId="12" r:id="rId10"/>
    <sheet name="JULY per sales rep " sheetId="13" r:id="rId11"/>
    <sheet name="AUG per sales rep" sheetId="15" r:id="rId12"/>
    <sheet name="SEPT per sales rep" sheetId="16" r:id="rId13"/>
    <sheet name="OCT per sales rep" sheetId="17" r:id="rId14"/>
    <sheet name="NOV per sales rep" sheetId="18" r:id="rId15"/>
    <sheet name="DEC per sales rep" sheetId="19" r:id="rId16"/>
    <sheet name="SALES INBOX" sheetId="10" r:id="rId17"/>
    <sheet name="YEAR" sheetId="14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H7" i="4"/>
  <c r="P14" i="10"/>
  <c r="P13" i="10"/>
  <c r="P12" i="10"/>
  <c r="P11" i="10"/>
  <c r="P7" i="10"/>
  <c r="P6" i="10"/>
  <c r="P5" i="10"/>
  <c r="P4" i="10"/>
  <c r="K7" i="3"/>
  <c r="E18" i="7"/>
  <c r="F7" i="14"/>
  <c r="F6" i="14"/>
  <c r="F5" i="14"/>
  <c r="F4" i="14"/>
  <c r="F7" i="19"/>
  <c r="F6" i="19"/>
  <c r="F5" i="19"/>
  <c r="F4" i="19"/>
  <c r="H6" i="4"/>
  <c r="L10" i="1"/>
  <c r="F7" i="18"/>
  <c r="F6" i="18"/>
  <c r="F5" i="18"/>
  <c r="F4" i="18"/>
  <c r="J14" i="10"/>
  <c r="J13" i="10"/>
  <c r="F7" i="17"/>
  <c r="F6" i="17"/>
  <c r="F5" i="17"/>
  <c r="F4" i="17"/>
  <c r="F4" i="16"/>
  <c r="H16" i="1"/>
  <c r="Q14" i="3"/>
  <c r="Q15" i="3"/>
  <c r="Q16" i="3"/>
  <c r="Q17" i="3"/>
  <c r="Q18" i="3"/>
  <c r="Q13" i="3"/>
  <c r="F15" i="3"/>
  <c r="J12" i="10"/>
  <c r="F7" i="16"/>
  <c r="F6" i="16"/>
  <c r="F5" i="16"/>
  <c r="F4" i="15"/>
  <c r="E40" i="7"/>
  <c r="E26" i="7"/>
  <c r="E39" i="7"/>
  <c r="E25" i="7"/>
  <c r="F6" i="15"/>
  <c r="F5" i="15"/>
  <c r="F7" i="15"/>
  <c r="F7" i="13"/>
  <c r="J11" i="10"/>
  <c r="Q5" i="3"/>
  <c r="Q6" i="3"/>
  <c r="D16" i="1"/>
  <c r="F16" i="1"/>
  <c r="G16" i="1"/>
  <c r="C16" i="1"/>
  <c r="B16" i="1"/>
  <c r="J10" i="10"/>
  <c r="E38" i="7"/>
  <c r="E24" i="7"/>
  <c r="E23" i="7"/>
  <c r="J7" i="13"/>
  <c r="H7" i="13"/>
  <c r="J6" i="13"/>
  <c r="H6" i="13"/>
  <c r="F6" i="13"/>
  <c r="J5" i="13"/>
  <c r="H5" i="13"/>
  <c r="F5" i="13"/>
  <c r="J4" i="13"/>
  <c r="H4" i="13"/>
  <c r="F4" i="13"/>
  <c r="J9" i="10"/>
  <c r="J5" i="9"/>
  <c r="J6" i="9"/>
  <c r="J7" i="9"/>
  <c r="J8" i="9"/>
  <c r="J4" i="9"/>
  <c r="J5" i="11"/>
  <c r="J6" i="11"/>
  <c r="J7" i="11"/>
  <c r="J8" i="11"/>
  <c r="J4" i="11"/>
  <c r="J5" i="12"/>
  <c r="J6" i="12"/>
  <c r="J7" i="12"/>
  <c r="J8" i="12"/>
  <c r="J4" i="12"/>
  <c r="O15" i="7"/>
  <c r="F8" i="12"/>
  <c r="F7" i="12"/>
  <c r="F6" i="12"/>
  <c r="F5" i="12"/>
  <c r="F4" i="12"/>
  <c r="F4" i="11"/>
  <c r="H5" i="12"/>
  <c r="H6" i="12"/>
  <c r="H7" i="12"/>
  <c r="H8" i="12"/>
  <c r="H4" i="12"/>
  <c r="H4" i="11"/>
  <c r="E37" i="7"/>
  <c r="J8" i="10"/>
  <c r="H5" i="11"/>
  <c r="H6" i="11"/>
  <c r="H7" i="11"/>
  <c r="H8" i="11"/>
  <c r="F8" i="11"/>
  <c r="F7" i="11"/>
  <c r="F6" i="11"/>
  <c r="F5" i="11"/>
  <c r="F4" i="9"/>
  <c r="E36" i="7"/>
  <c r="E22" i="7"/>
  <c r="J5" i="10"/>
  <c r="J6" i="10"/>
  <c r="J7" i="10"/>
  <c r="J4" i="10"/>
  <c r="G5" i="10"/>
  <c r="G6" i="10"/>
  <c r="G7" i="10"/>
  <c r="G8" i="10"/>
  <c r="G9" i="10"/>
  <c r="G10" i="10"/>
  <c r="G11" i="10"/>
  <c r="G12" i="10"/>
  <c r="G13" i="10"/>
  <c r="G14" i="10"/>
  <c r="G15" i="10"/>
  <c r="G4" i="10"/>
  <c r="D5" i="10"/>
  <c r="D6" i="10"/>
  <c r="D7" i="10"/>
  <c r="D8" i="10"/>
  <c r="D9" i="10"/>
  <c r="D10" i="10"/>
  <c r="D11" i="10"/>
  <c r="D12" i="10"/>
  <c r="D13" i="10"/>
  <c r="D14" i="10"/>
  <c r="D15" i="10"/>
  <c r="D4" i="10"/>
  <c r="H5" i="9" l="1"/>
  <c r="H6" i="9"/>
  <c r="H7" i="9"/>
  <c r="H8" i="9"/>
  <c r="F8" i="9"/>
  <c r="F7" i="9"/>
  <c r="F6" i="9"/>
  <c r="F5" i="9"/>
  <c r="F4" i="8"/>
  <c r="E35" i="7"/>
  <c r="E21" i="7"/>
  <c r="J8" i="8"/>
  <c r="F8" i="8"/>
  <c r="J7" i="8"/>
  <c r="F7" i="8"/>
  <c r="J6" i="8"/>
  <c r="F6" i="8"/>
  <c r="J5" i="8"/>
  <c r="H5" i="8"/>
  <c r="F5" i="8"/>
  <c r="J4" i="8"/>
  <c r="H4" i="8"/>
  <c r="E34" i="7"/>
  <c r="E20" i="7"/>
  <c r="H5" i="4" l="1"/>
  <c r="L7" i="1"/>
  <c r="L9" i="1"/>
  <c r="L5" i="1"/>
  <c r="L6" i="1"/>
  <c r="D19" i="7"/>
  <c r="D20" i="7"/>
  <c r="D21" i="7"/>
  <c r="D22" i="7"/>
  <c r="D23" i="7"/>
  <c r="D24" i="7"/>
  <c r="D25" i="7"/>
  <c r="D26" i="7"/>
  <c r="D27" i="7"/>
  <c r="D28" i="7"/>
  <c r="D29" i="7"/>
  <c r="D18" i="7"/>
  <c r="C19" i="7"/>
  <c r="C20" i="7"/>
  <c r="C21" i="7"/>
  <c r="C22" i="7"/>
  <c r="C23" i="7"/>
  <c r="C24" i="7"/>
  <c r="C25" i="7"/>
  <c r="C26" i="7"/>
  <c r="C27" i="7"/>
  <c r="C28" i="7"/>
  <c r="C29" i="7"/>
  <c r="C18" i="7"/>
  <c r="C33" i="7"/>
  <c r="C34" i="7"/>
  <c r="C35" i="7"/>
  <c r="C36" i="7"/>
  <c r="C37" i="7"/>
  <c r="C38" i="7"/>
  <c r="C39" i="7"/>
  <c r="C40" i="7"/>
  <c r="C41" i="7"/>
  <c r="C42" i="7"/>
  <c r="C43" i="7"/>
  <c r="C32" i="7"/>
  <c r="E33" i="7"/>
  <c r="E32" i="7"/>
  <c r="D33" i="7"/>
  <c r="D34" i="7"/>
  <c r="D35" i="7"/>
  <c r="D36" i="7"/>
  <c r="D37" i="7"/>
  <c r="D38" i="7"/>
  <c r="D39" i="7"/>
  <c r="D40" i="7"/>
  <c r="D41" i="7"/>
  <c r="D42" i="7"/>
  <c r="D43" i="7"/>
  <c r="D32" i="7"/>
  <c r="E19" i="7"/>
  <c r="N15" i="7"/>
  <c r="M15" i="7"/>
  <c r="L15" i="7"/>
  <c r="J8" i="6"/>
  <c r="J7" i="6"/>
  <c r="J6" i="6"/>
  <c r="J5" i="6"/>
  <c r="J4" i="6"/>
  <c r="H4" i="6"/>
  <c r="F4" i="6"/>
  <c r="H8" i="6"/>
  <c r="H7" i="6"/>
  <c r="H6" i="6"/>
  <c r="H5" i="6"/>
  <c r="F8" i="6"/>
  <c r="F7" i="6"/>
  <c r="F6" i="6"/>
  <c r="F5" i="6"/>
  <c r="I9" i="5"/>
  <c r="J9" i="5" s="1"/>
  <c r="J8" i="5"/>
  <c r="J7" i="5"/>
  <c r="J6" i="5"/>
  <c r="J5" i="5"/>
  <c r="J4" i="5"/>
  <c r="H8" i="5"/>
  <c r="H7" i="5"/>
  <c r="H6" i="5"/>
  <c r="H5" i="5"/>
  <c r="H4" i="5"/>
  <c r="F8" i="5"/>
  <c r="F7" i="5"/>
  <c r="F6" i="5"/>
  <c r="F5" i="5"/>
  <c r="F4" i="5"/>
  <c r="Q7" i="3"/>
  <c r="Q8" i="3"/>
  <c r="Q9" i="3"/>
  <c r="Q10" i="3"/>
  <c r="K6" i="3"/>
  <c r="K5" i="3"/>
  <c r="K4" i="3"/>
  <c r="H4" i="4"/>
  <c r="L8" i="1"/>
  <c r="D15" i="3"/>
  <c r="E15" i="3"/>
  <c r="C15" i="3"/>
</calcChain>
</file>

<file path=xl/sharedStrings.xml><?xml version="1.0" encoding="utf-8"?>
<sst xmlns="http://schemas.openxmlformats.org/spreadsheetml/2006/main" count="343" uniqueCount="108">
  <si>
    <t>Monthly Review</t>
  </si>
  <si>
    <t>Total Enquiries 22</t>
  </si>
  <si>
    <t>Total Enquiries 23</t>
  </si>
  <si>
    <t>Total Enquiries 24</t>
  </si>
  <si>
    <t>Total Enquiries 25</t>
  </si>
  <si>
    <t>Total Conversions 22</t>
  </si>
  <si>
    <t>Total Conversions 23</t>
  </si>
  <si>
    <t>Total Conversions 24</t>
  </si>
  <si>
    <t>Total Conversions 25</t>
  </si>
  <si>
    <t>January</t>
  </si>
  <si>
    <t>February</t>
  </si>
  <si>
    <t>Average 22 enquiries</t>
  </si>
  <si>
    <t>March</t>
  </si>
  <si>
    <t>Average 23 enquiries</t>
  </si>
  <si>
    <t>April</t>
  </si>
  <si>
    <t>Average 24 enquiries</t>
  </si>
  <si>
    <t>May</t>
  </si>
  <si>
    <t>Average 22 conversions</t>
  </si>
  <si>
    <t>June</t>
  </si>
  <si>
    <t>Average 23 conversions</t>
  </si>
  <si>
    <t xml:space="preserve">July </t>
  </si>
  <si>
    <t>Average 24 conversions</t>
  </si>
  <si>
    <t xml:space="preserve">August </t>
  </si>
  <si>
    <t>September</t>
  </si>
  <si>
    <t>October</t>
  </si>
  <si>
    <t>November</t>
  </si>
  <si>
    <t>December</t>
  </si>
  <si>
    <t>TOTAL</t>
  </si>
  <si>
    <t>Conversion  22</t>
  </si>
  <si>
    <t>Conversion 23</t>
  </si>
  <si>
    <t>Conversion 24</t>
  </si>
  <si>
    <t>Conversion 25</t>
  </si>
  <si>
    <t>Average 22 %</t>
  </si>
  <si>
    <t>Average 23 %</t>
  </si>
  <si>
    <t>Average 24 %</t>
  </si>
  <si>
    <t>Average 25 %</t>
  </si>
  <si>
    <t xml:space="preserve">June </t>
  </si>
  <si>
    <t>August</t>
  </si>
  <si>
    <t xml:space="preserve">mock </t>
  </si>
  <si>
    <t>Total Profit 21</t>
  </si>
  <si>
    <t>Total profit 22</t>
  </si>
  <si>
    <t>Total profit 23</t>
  </si>
  <si>
    <t>Total Profit 24</t>
  </si>
  <si>
    <t>Total Profit 25</t>
  </si>
  <si>
    <t>Average 21</t>
  </si>
  <si>
    <t>2023 profit</t>
  </si>
  <si>
    <t>Average p/m</t>
  </si>
  <si>
    <t>Average 22</t>
  </si>
  <si>
    <t xml:space="preserve">Bernie </t>
  </si>
  <si>
    <t>Average 23</t>
  </si>
  <si>
    <t>Bux</t>
  </si>
  <si>
    <t>Average 24</t>
  </si>
  <si>
    <t>Catherine</t>
  </si>
  <si>
    <t>Average 25</t>
  </si>
  <si>
    <t>Hardus</t>
  </si>
  <si>
    <t xml:space="preserve">Johan </t>
  </si>
  <si>
    <t xml:space="preserve">Shannon </t>
  </si>
  <si>
    <t>2024 profit</t>
  </si>
  <si>
    <t xml:space="preserve">November </t>
  </si>
  <si>
    <t>Profit per Enquiry 22</t>
  </si>
  <si>
    <t>Profit per Enquiry 23</t>
  </si>
  <si>
    <t>Profit per Enquiry 24</t>
  </si>
  <si>
    <t>Profit per Conversion 22</t>
  </si>
  <si>
    <t>Profit per Conversion 23</t>
  </si>
  <si>
    <t>Profit per Conversion 24</t>
  </si>
  <si>
    <t>MONTLY ENQUIRIES</t>
  </si>
  <si>
    <t>ENQUIRIES</t>
  </si>
  <si>
    <t>AVERAGE ENQUIRIES PER TOTAL %</t>
  </si>
  <si>
    <t>CONVERTED</t>
  </si>
  <si>
    <t>CONVERSION RATE %</t>
  </si>
  <si>
    <t>TOTAL PROFIT</t>
  </si>
  <si>
    <t>AVERAGE PROFIT PER JOB</t>
  </si>
  <si>
    <t>HARDUS</t>
  </si>
  <si>
    <t>BUX</t>
  </si>
  <si>
    <t>BERNIE</t>
  </si>
  <si>
    <t>CAT</t>
  </si>
  <si>
    <t>JOHAN</t>
  </si>
  <si>
    <t>TOTAL MONTH</t>
  </si>
  <si>
    <t>Bux sick couple of days.</t>
  </si>
  <si>
    <t xml:space="preserve">Bernie off for 1 week. </t>
  </si>
  <si>
    <t>month</t>
  </si>
  <si>
    <t>ENQUIRIES 22</t>
  </si>
  <si>
    <t>CONVERTED 22</t>
  </si>
  <si>
    <t>conversion rate 22</t>
  </si>
  <si>
    <t>ENQUIRIES 23</t>
  </si>
  <si>
    <t>CONVERTED 23</t>
  </si>
  <si>
    <t>conversion rate 23</t>
  </si>
  <si>
    <t>ENQUIRIES 24</t>
  </si>
  <si>
    <t>CONVERTED 24</t>
  </si>
  <si>
    <t>conversion rate 24</t>
  </si>
  <si>
    <t>ENQUIRIES 25</t>
  </si>
  <si>
    <t>CONVERTED 25</t>
  </si>
  <si>
    <t>conversion rate 25</t>
  </si>
  <si>
    <t>average enquiries</t>
  </si>
  <si>
    <t>JANUARY</t>
  </si>
  <si>
    <t>FEBRUARY</t>
  </si>
  <si>
    <t xml:space="preserve">MARCH </t>
  </si>
  <si>
    <t>APRIL</t>
  </si>
  <si>
    <t>MAY</t>
  </si>
  <si>
    <t>JUNE</t>
  </si>
  <si>
    <t>average conversion rate</t>
  </si>
  <si>
    <t>JULY</t>
  </si>
  <si>
    <t>AUGUST</t>
  </si>
  <si>
    <t>SEPTEMBER</t>
  </si>
  <si>
    <t>OCTOBER</t>
  </si>
  <si>
    <t>NOVEMBER</t>
  </si>
  <si>
    <t>DECEMBER</t>
  </si>
  <si>
    <t>SALES INBOX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</si>
</sst>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3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/>
    <xf numFmtId="1" fontId="0" fillId="2" borderId="0" xfId="0" applyNumberFormat="1" applyFill="1"/>
    <xf numFmtId="0" fontId="0" fillId="2" borderId="0" xfId="0" applyFill="1"/>
    <xf numFmtId="0" fontId="1" fillId="3" borderId="0" xfId="0" applyFont="1" applyFill="1"/>
    <xf numFmtId="1" fontId="0" fillId="3" borderId="0" xfId="0" applyNumberFormat="1" applyFill="1"/>
    <xf numFmtId="0" fontId="0" fillId="3" borderId="0" xfId="0" applyFill="1"/>
    <xf numFmtId="1" fontId="0" fillId="4" borderId="0" xfId="0" applyNumberFormat="1" applyFill="1"/>
    <xf numFmtId="0" fontId="0" fillId="4" borderId="0" xfId="0" applyFill="1"/>
    <xf numFmtId="0" fontId="1" fillId="4" borderId="0" xfId="0" applyFont="1" applyFill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  <color rgb="FF50F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Enquiries</a:t>
            </a:r>
            <a:r>
              <a:rPr lang="en-ZA" baseline="0"/>
              <a:t> and conversions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Enquiries!$B$3</c:f>
              <c:strCache>
                <c:ptCount val="1"/>
                <c:pt idx="0">
                  <c:v>Total Enquiries 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Enquiries!$B$4:$B$15</c:f>
              <c:numCache>
                <c:formatCode>General</c:formatCode>
                <c:ptCount val="12"/>
                <c:pt idx="0">
                  <c:v>184</c:v>
                </c:pt>
                <c:pt idx="1">
                  <c:v>186</c:v>
                </c:pt>
                <c:pt idx="2">
                  <c:v>230</c:v>
                </c:pt>
                <c:pt idx="3">
                  <c:v>172</c:v>
                </c:pt>
                <c:pt idx="4">
                  <c:v>230</c:v>
                </c:pt>
                <c:pt idx="5">
                  <c:v>205</c:v>
                </c:pt>
                <c:pt idx="6">
                  <c:v>218</c:v>
                </c:pt>
                <c:pt idx="7">
                  <c:v>269</c:v>
                </c:pt>
                <c:pt idx="8">
                  <c:v>329</c:v>
                </c:pt>
                <c:pt idx="9">
                  <c:v>286</c:v>
                </c:pt>
                <c:pt idx="10">
                  <c:v>239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6-47C4-BAA5-A9868983099C}"/>
            </c:ext>
          </c:extLst>
        </c:ser>
        <c:ser>
          <c:idx val="1"/>
          <c:order val="1"/>
          <c:tx>
            <c:strRef>
              <c:f>Enquiries!$C$3</c:f>
              <c:strCache>
                <c:ptCount val="1"/>
                <c:pt idx="0">
                  <c:v>Total Enquiries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Enquiries!$C$4:$C$15</c:f>
              <c:numCache>
                <c:formatCode>General</c:formatCode>
                <c:ptCount val="12"/>
                <c:pt idx="0">
                  <c:v>248</c:v>
                </c:pt>
                <c:pt idx="1">
                  <c:v>261</c:v>
                </c:pt>
                <c:pt idx="2">
                  <c:v>362</c:v>
                </c:pt>
                <c:pt idx="3">
                  <c:v>270</c:v>
                </c:pt>
                <c:pt idx="4">
                  <c:v>281</c:v>
                </c:pt>
                <c:pt idx="5">
                  <c:v>258</c:v>
                </c:pt>
                <c:pt idx="6">
                  <c:v>295</c:v>
                </c:pt>
                <c:pt idx="7">
                  <c:v>319</c:v>
                </c:pt>
                <c:pt idx="8">
                  <c:v>355</c:v>
                </c:pt>
                <c:pt idx="9">
                  <c:v>361</c:v>
                </c:pt>
                <c:pt idx="10">
                  <c:v>330</c:v>
                </c:pt>
                <c:pt idx="1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6-47C4-BAA5-A9868983099C}"/>
            </c:ext>
          </c:extLst>
        </c:ser>
        <c:ser>
          <c:idx val="2"/>
          <c:order val="2"/>
          <c:tx>
            <c:strRef>
              <c:f>Enquiries!$D$3</c:f>
              <c:strCache>
                <c:ptCount val="1"/>
                <c:pt idx="0">
                  <c:v>Total Enquiries 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Enquiries!$D$4:$D$15</c:f>
              <c:numCache>
                <c:formatCode>General</c:formatCode>
                <c:ptCount val="12"/>
                <c:pt idx="0">
                  <c:v>341</c:v>
                </c:pt>
                <c:pt idx="1">
                  <c:v>398</c:v>
                </c:pt>
                <c:pt idx="2">
                  <c:v>354</c:v>
                </c:pt>
                <c:pt idx="3">
                  <c:v>343</c:v>
                </c:pt>
                <c:pt idx="4">
                  <c:v>396</c:v>
                </c:pt>
                <c:pt idx="5">
                  <c:v>336</c:v>
                </c:pt>
                <c:pt idx="6">
                  <c:v>333</c:v>
                </c:pt>
                <c:pt idx="7">
                  <c:v>278</c:v>
                </c:pt>
                <c:pt idx="8">
                  <c:v>350</c:v>
                </c:pt>
                <c:pt idx="9">
                  <c:v>303</c:v>
                </c:pt>
                <c:pt idx="10">
                  <c:v>286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B6-47C4-BAA5-A9868983099C}"/>
            </c:ext>
          </c:extLst>
        </c:ser>
        <c:ser>
          <c:idx val="3"/>
          <c:order val="3"/>
          <c:tx>
            <c:strRef>
              <c:f>Enquiries!$E$3</c:f>
              <c:strCache>
                <c:ptCount val="1"/>
                <c:pt idx="0">
                  <c:v>Total Enquiries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Enquiries!$E$4:$E$15</c:f>
              <c:numCache>
                <c:formatCode>General</c:formatCode>
                <c:ptCount val="12"/>
                <c:pt idx="0">
                  <c:v>290</c:v>
                </c:pt>
                <c:pt idx="1">
                  <c:v>252</c:v>
                </c:pt>
                <c:pt idx="2">
                  <c:v>277</c:v>
                </c:pt>
                <c:pt idx="3">
                  <c:v>273</c:v>
                </c:pt>
                <c:pt idx="4">
                  <c:v>303</c:v>
                </c:pt>
                <c:pt idx="5">
                  <c:v>268</c:v>
                </c:pt>
                <c:pt idx="6">
                  <c:v>297</c:v>
                </c:pt>
                <c:pt idx="7">
                  <c:v>294</c:v>
                </c:pt>
                <c:pt idx="8">
                  <c:v>255</c:v>
                </c:pt>
                <c:pt idx="9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B6-47C4-BAA5-A9868983099C}"/>
            </c:ext>
          </c:extLst>
        </c:ser>
        <c:ser>
          <c:idx val="4"/>
          <c:order val="4"/>
          <c:tx>
            <c:strRef>
              <c:f>Enquiries!$F$3</c:f>
              <c:strCache>
                <c:ptCount val="1"/>
                <c:pt idx="0">
                  <c:v>Total Conversions 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Enquiries!$F$4:$F$15</c:f>
              <c:numCache>
                <c:formatCode>General</c:formatCode>
                <c:ptCount val="12"/>
                <c:pt idx="0">
                  <c:v>109</c:v>
                </c:pt>
                <c:pt idx="1">
                  <c:v>126</c:v>
                </c:pt>
                <c:pt idx="2">
                  <c:v>149</c:v>
                </c:pt>
                <c:pt idx="3">
                  <c:v>119</c:v>
                </c:pt>
                <c:pt idx="4">
                  <c:v>149</c:v>
                </c:pt>
                <c:pt idx="5">
                  <c:v>131</c:v>
                </c:pt>
                <c:pt idx="6">
                  <c:v>129</c:v>
                </c:pt>
                <c:pt idx="7">
                  <c:v>158</c:v>
                </c:pt>
                <c:pt idx="8">
                  <c:v>186</c:v>
                </c:pt>
                <c:pt idx="9">
                  <c:v>199</c:v>
                </c:pt>
                <c:pt idx="10">
                  <c:v>170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B6-47C4-BAA5-A9868983099C}"/>
            </c:ext>
          </c:extLst>
        </c:ser>
        <c:ser>
          <c:idx val="5"/>
          <c:order val="5"/>
          <c:tx>
            <c:strRef>
              <c:f>Enquiries!$G$3</c:f>
              <c:strCache>
                <c:ptCount val="1"/>
                <c:pt idx="0">
                  <c:v>Total Conversions 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Enquiries!$G$4:$G$15</c:f>
              <c:numCache>
                <c:formatCode>General</c:formatCode>
                <c:ptCount val="12"/>
                <c:pt idx="0">
                  <c:v>154</c:v>
                </c:pt>
                <c:pt idx="1">
                  <c:v>162</c:v>
                </c:pt>
                <c:pt idx="2">
                  <c:v>218</c:v>
                </c:pt>
                <c:pt idx="3">
                  <c:v>168</c:v>
                </c:pt>
                <c:pt idx="4">
                  <c:v>143</c:v>
                </c:pt>
                <c:pt idx="5">
                  <c:v>154</c:v>
                </c:pt>
                <c:pt idx="6">
                  <c:v>171</c:v>
                </c:pt>
                <c:pt idx="7">
                  <c:v>175</c:v>
                </c:pt>
                <c:pt idx="8">
                  <c:v>204</c:v>
                </c:pt>
                <c:pt idx="9">
                  <c:v>248</c:v>
                </c:pt>
                <c:pt idx="10">
                  <c:v>211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B6-47C4-BAA5-A9868983099C}"/>
            </c:ext>
          </c:extLst>
        </c:ser>
        <c:ser>
          <c:idx val="6"/>
          <c:order val="6"/>
          <c:tx>
            <c:strRef>
              <c:f>Enquiries!$H$3</c:f>
              <c:strCache>
                <c:ptCount val="1"/>
                <c:pt idx="0">
                  <c:v>Total Conversions 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Enquiries!$H$4:$H$15</c:f>
              <c:numCache>
                <c:formatCode>General</c:formatCode>
                <c:ptCount val="12"/>
                <c:pt idx="0">
                  <c:v>198</c:v>
                </c:pt>
                <c:pt idx="1">
                  <c:v>232</c:v>
                </c:pt>
                <c:pt idx="2">
                  <c:v>229</c:v>
                </c:pt>
                <c:pt idx="3">
                  <c:v>218</c:v>
                </c:pt>
                <c:pt idx="4">
                  <c:v>239</c:v>
                </c:pt>
                <c:pt idx="5">
                  <c:v>189</c:v>
                </c:pt>
                <c:pt idx="6">
                  <c:v>196</c:v>
                </c:pt>
                <c:pt idx="7">
                  <c:v>162</c:v>
                </c:pt>
                <c:pt idx="8">
                  <c:v>215</c:v>
                </c:pt>
                <c:pt idx="9">
                  <c:v>173</c:v>
                </c:pt>
                <c:pt idx="10">
                  <c:v>167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8-41C5-95CB-692209255B08}"/>
            </c:ext>
          </c:extLst>
        </c:ser>
        <c:ser>
          <c:idx val="7"/>
          <c:order val="7"/>
          <c:tx>
            <c:strRef>
              <c:f>Enquiries!$I$3</c:f>
              <c:strCache>
                <c:ptCount val="1"/>
                <c:pt idx="0">
                  <c:v>Total Conversions 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Enquiries!$I$4:$I$15</c:f>
              <c:numCache>
                <c:formatCode>General</c:formatCode>
                <c:ptCount val="12"/>
                <c:pt idx="0">
                  <c:v>161</c:v>
                </c:pt>
                <c:pt idx="1">
                  <c:v>144</c:v>
                </c:pt>
                <c:pt idx="2">
                  <c:v>157</c:v>
                </c:pt>
                <c:pt idx="3">
                  <c:v>169</c:v>
                </c:pt>
                <c:pt idx="4">
                  <c:v>185</c:v>
                </c:pt>
                <c:pt idx="5">
                  <c:v>159</c:v>
                </c:pt>
                <c:pt idx="6">
                  <c:v>164</c:v>
                </c:pt>
                <c:pt idx="7">
                  <c:v>194</c:v>
                </c:pt>
                <c:pt idx="8">
                  <c:v>151</c:v>
                </c:pt>
                <c:pt idx="9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8-41C5-95CB-692209255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55663"/>
        <c:axId val="52246063"/>
      </c:barChart>
      <c:catAx>
        <c:axId val="522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46063"/>
        <c:crosses val="autoZero"/>
        <c:auto val="1"/>
        <c:lblAlgn val="ctr"/>
        <c:lblOffset val="100"/>
        <c:noMultiLvlLbl val="0"/>
      </c:catAx>
      <c:valAx>
        <c:axId val="522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Enquiries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Enquiries!$B$3</c:f>
              <c:strCache>
                <c:ptCount val="1"/>
                <c:pt idx="0">
                  <c:v>Total Enquiries 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Enquiries!$B$4:$B$15</c:f>
              <c:numCache>
                <c:formatCode>General</c:formatCode>
                <c:ptCount val="12"/>
                <c:pt idx="0">
                  <c:v>184</c:v>
                </c:pt>
                <c:pt idx="1">
                  <c:v>186</c:v>
                </c:pt>
                <c:pt idx="2">
                  <c:v>230</c:v>
                </c:pt>
                <c:pt idx="3">
                  <c:v>172</c:v>
                </c:pt>
                <c:pt idx="4">
                  <c:v>230</c:v>
                </c:pt>
                <c:pt idx="5">
                  <c:v>205</c:v>
                </c:pt>
                <c:pt idx="6">
                  <c:v>218</c:v>
                </c:pt>
                <c:pt idx="7">
                  <c:v>269</c:v>
                </c:pt>
                <c:pt idx="8">
                  <c:v>329</c:v>
                </c:pt>
                <c:pt idx="9">
                  <c:v>286</c:v>
                </c:pt>
                <c:pt idx="10">
                  <c:v>239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9-4DD9-B9DC-28627D60EB8C}"/>
            </c:ext>
          </c:extLst>
        </c:ser>
        <c:ser>
          <c:idx val="1"/>
          <c:order val="1"/>
          <c:tx>
            <c:strRef>
              <c:f>Enquiries!$C$3</c:f>
              <c:strCache>
                <c:ptCount val="1"/>
                <c:pt idx="0">
                  <c:v>Total Enquiries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Enquiries!$C$4:$C$15</c:f>
              <c:numCache>
                <c:formatCode>General</c:formatCode>
                <c:ptCount val="12"/>
                <c:pt idx="0">
                  <c:v>248</c:v>
                </c:pt>
                <c:pt idx="1">
                  <c:v>261</c:v>
                </c:pt>
                <c:pt idx="2">
                  <c:v>362</c:v>
                </c:pt>
                <c:pt idx="3">
                  <c:v>270</c:v>
                </c:pt>
                <c:pt idx="4">
                  <c:v>281</c:v>
                </c:pt>
                <c:pt idx="5">
                  <c:v>258</c:v>
                </c:pt>
                <c:pt idx="6">
                  <c:v>295</c:v>
                </c:pt>
                <c:pt idx="7">
                  <c:v>319</c:v>
                </c:pt>
                <c:pt idx="8">
                  <c:v>355</c:v>
                </c:pt>
                <c:pt idx="9">
                  <c:v>361</c:v>
                </c:pt>
                <c:pt idx="10">
                  <c:v>330</c:v>
                </c:pt>
                <c:pt idx="1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9-4DD9-B9DC-28627D60EB8C}"/>
            </c:ext>
          </c:extLst>
        </c:ser>
        <c:ser>
          <c:idx val="2"/>
          <c:order val="2"/>
          <c:tx>
            <c:strRef>
              <c:f>Enquiries!$D$3</c:f>
              <c:strCache>
                <c:ptCount val="1"/>
                <c:pt idx="0">
                  <c:v>Total Enquiries 24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Enquiries!$D$4:$D$15</c:f>
              <c:numCache>
                <c:formatCode>General</c:formatCode>
                <c:ptCount val="12"/>
                <c:pt idx="0">
                  <c:v>341</c:v>
                </c:pt>
                <c:pt idx="1">
                  <c:v>398</c:v>
                </c:pt>
                <c:pt idx="2">
                  <c:v>354</c:v>
                </c:pt>
                <c:pt idx="3">
                  <c:v>343</c:v>
                </c:pt>
                <c:pt idx="4">
                  <c:v>396</c:v>
                </c:pt>
                <c:pt idx="5">
                  <c:v>336</c:v>
                </c:pt>
                <c:pt idx="6">
                  <c:v>333</c:v>
                </c:pt>
                <c:pt idx="7">
                  <c:v>278</c:v>
                </c:pt>
                <c:pt idx="8">
                  <c:v>350</c:v>
                </c:pt>
                <c:pt idx="9">
                  <c:v>303</c:v>
                </c:pt>
                <c:pt idx="10">
                  <c:v>286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9-4DD9-B9DC-28627D60EB8C}"/>
            </c:ext>
          </c:extLst>
        </c:ser>
        <c:ser>
          <c:idx val="3"/>
          <c:order val="3"/>
          <c:tx>
            <c:strRef>
              <c:f>Enquiries!$E$3</c:f>
              <c:strCache>
                <c:ptCount val="1"/>
                <c:pt idx="0">
                  <c:v>Total Enquiries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Enquiries!$E$4:$E$15</c:f>
              <c:numCache>
                <c:formatCode>General</c:formatCode>
                <c:ptCount val="12"/>
                <c:pt idx="0">
                  <c:v>290</c:v>
                </c:pt>
                <c:pt idx="1">
                  <c:v>252</c:v>
                </c:pt>
                <c:pt idx="2">
                  <c:v>277</c:v>
                </c:pt>
                <c:pt idx="3">
                  <c:v>273</c:v>
                </c:pt>
                <c:pt idx="4">
                  <c:v>303</c:v>
                </c:pt>
                <c:pt idx="5">
                  <c:v>268</c:v>
                </c:pt>
                <c:pt idx="6">
                  <c:v>297</c:v>
                </c:pt>
                <c:pt idx="7">
                  <c:v>294</c:v>
                </c:pt>
                <c:pt idx="8">
                  <c:v>255</c:v>
                </c:pt>
                <c:pt idx="9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7-4783-A1F7-68E2F0DB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013247"/>
        <c:axId val="768006527"/>
      </c:barChart>
      <c:catAx>
        <c:axId val="7680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06527"/>
        <c:crosses val="autoZero"/>
        <c:auto val="1"/>
        <c:lblAlgn val="ctr"/>
        <c:lblOffset val="100"/>
        <c:noMultiLvlLbl val="0"/>
      </c:catAx>
      <c:valAx>
        <c:axId val="768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1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Conversions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Enquiries!$F$3</c:f>
              <c:strCache>
                <c:ptCount val="1"/>
                <c:pt idx="0">
                  <c:v>Total Conversions 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Enquiries!$F$4:$F$15</c:f>
              <c:numCache>
                <c:formatCode>General</c:formatCode>
                <c:ptCount val="12"/>
                <c:pt idx="0">
                  <c:v>109</c:v>
                </c:pt>
                <c:pt idx="1">
                  <c:v>126</c:v>
                </c:pt>
                <c:pt idx="2">
                  <c:v>149</c:v>
                </c:pt>
                <c:pt idx="3">
                  <c:v>119</c:v>
                </c:pt>
                <c:pt idx="4">
                  <c:v>149</c:v>
                </c:pt>
                <c:pt idx="5">
                  <c:v>131</c:v>
                </c:pt>
                <c:pt idx="6">
                  <c:v>129</c:v>
                </c:pt>
                <c:pt idx="7">
                  <c:v>158</c:v>
                </c:pt>
                <c:pt idx="8">
                  <c:v>186</c:v>
                </c:pt>
                <c:pt idx="9">
                  <c:v>199</c:v>
                </c:pt>
                <c:pt idx="10">
                  <c:v>170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B13-A54E-93CAF22805A3}"/>
            </c:ext>
          </c:extLst>
        </c:ser>
        <c:ser>
          <c:idx val="1"/>
          <c:order val="1"/>
          <c:tx>
            <c:strRef>
              <c:f>Enquiries!$G$3</c:f>
              <c:strCache>
                <c:ptCount val="1"/>
                <c:pt idx="0">
                  <c:v>Total Conversions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Enquiries!$G$4:$G$15</c:f>
              <c:numCache>
                <c:formatCode>General</c:formatCode>
                <c:ptCount val="12"/>
                <c:pt idx="0">
                  <c:v>154</c:v>
                </c:pt>
                <c:pt idx="1">
                  <c:v>162</c:v>
                </c:pt>
                <c:pt idx="2">
                  <c:v>218</c:v>
                </c:pt>
                <c:pt idx="3">
                  <c:v>168</c:v>
                </c:pt>
                <c:pt idx="4">
                  <c:v>143</c:v>
                </c:pt>
                <c:pt idx="5">
                  <c:v>154</c:v>
                </c:pt>
                <c:pt idx="6">
                  <c:v>171</c:v>
                </c:pt>
                <c:pt idx="7">
                  <c:v>175</c:v>
                </c:pt>
                <c:pt idx="8">
                  <c:v>204</c:v>
                </c:pt>
                <c:pt idx="9">
                  <c:v>248</c:v>
                </c:pt>
                <c:pt idx="10">
                  <c:v>211</c:v>
                </c:pt>
                <c:pt idx="1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3-4B13-A54E-93CAF22805A3}"/>
            </c:ext>
          </c:extLst>
        </c:ser>
        <c:ser>
          <c:idx val="2"/>
          <c:order val="2"/>
          <c:tx>
            <c:strRef>
              <c:f>Enquiries!$H$3</c:f>
              <c:strCache>
                <c:ptCount val="1"/>
                <c:pt idx="0">
                  <c:v>Total Conversions 24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Enquiries!$H$4:$H$15</c:f>
              <c:numCache>
                <c:formatCode>General</c:formatCode>
                <c:ptCount val="12"/>
                <c:pt idx="0">
                  <c:v>198</c:v>
                </c:pt>
                <c:pt idx="1">
                  <c:v>232</c:v>
                </c:pt>
                <c:pt idx="2">
                  <c:v>229</c:v>
                </c:pt>
                <c:pt idx="3">
                  <c:v>218</c:v>
                </c:pt>
                <c:pt idx="4">
                  <c:v>239</c:v>
                </c:pt>
                <c:pt idx="5">
                  <c:v>189</c:v>
                </c:pt>
                <c:pt idx="6">
                  <c:v>196</c:v>
                </c:pt>
                <c:pt idx="7">
                  <c:v>162</c:v>
                </c:pt>
                <c:pt idx="8">
                  <c:v>215</c:v>
                </c:pt>
                <c:pt idx="9">
                  <c:v>173</c:v>
                </c:pt>
                <c:pt idx="10">
                  <c:v>167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3-4B13-A54E-93CAF22805A3}"/>
            </c:ext>
          </c:extLst>
        </c:ser>
        <c:ser>
          <c:idx val="3"/>
          <c:order val="3"/>
          <c:tx>
            <c:strRef>
              <c:f>Enquiries!$I$3</c:f>
              <c:strCache>
                <c:ptCount val="1"/>
                <c:pt idx="0">
                  <c:v>Total Conversions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Enquiries!$A$4:$A$15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Enquiries!$I$4:$I$15</c:f>
              <c:numCache>
                <c:formatCode>General</c:formatCode>
                <c:ptCount val="12"/>
                <c:pt idx="0">
                  <c:v>161</c:v>
                </c:pt>
                <c:pt idx="1">
                  <c:v>144</c:v>
                </c:pt>
                <c:pt idx="2">
                  <c:v>157</c:v>
                </c:pt>
                <c:pt idx="3">
                  <c:v>169</c:v>
                </c:pt>
                <c:pt idx="4">
                  <c:v>185</c:v>
                </c:pt>
                <c:pt idx="5">
                  <c:v>159</c:v>
                </c:pt>
                <c:pt idx="6">
                  <c:v>164</c:v>
                </c:pt>
                <c:pt idx="7">
                  <c:v>194</c:v>
                </c:pt>
                <c:pt idx="8">
                  <c:v>151</c:v>
                </c:pt>
                <c:pt idx="9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6-40DA-8B89-BC9FC8A8C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369343"/>
        <c:axId val="1038374143"/>
      </c:barChart>
      <c:catAx>
        <c:axId val="103836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74143"/>
        <c:crosses val="autoZero"/>
        <c:auto val="1"/>
        <c:lblAlgn val="ctr"/>
        <c:lblOffset val="100"/>
        <c:noMultiLvlLbl val="0"/>
      </c:catAx>
      <c:valAx>
        <c:axId val="10383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6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Conversions!$C$2</c:f>
              <c:strCache>
                <c:ptCount val="1"/>
                <c:pt idx="0">
                  <c:v>Conversion  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Conversions!$B$3:$B$15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mock </c:v>
                </c:pt>
              </c:strCache>
            </c:strRef>
          </c:cat>
          <c:val>
            <c:numRef>
              <c:f>Conversions!$C$3:$C$15</c:f>
              <c:numCache>
                <c:formatCode>General</c:formatCode>
                <c:ptCount val="13"/>
                <c:pt idx="0">
                  <c:v>59.2</c:v>
                </c:pt>
                <c:pt idx="1">
                  <c:v>67.7</c:v>
                </c:pt>
                <c:pt idx="2">
                  <c:v>64.8</c:v>
                </c:pt>
                <c:pt idx="3">
                  <c:v>69.2</c:v>
                </c:pt>
                <c:pt idx="4">
                  <c:v>67.7</c:v>
                </c:pt>
                <c:pt idx="5">
                  <c:v>63.9</c:v>
                </c:pt>
                <c:pt idx="6">
                  <c:v>59.2</c:v>
                </c:pt>
                <c:pt idx="7">
                  <c:v>58.7</c:v>
                </c:pt>
                <c:pt idx="8">
                  <c:v>56.5</c:v>
                </c:pt>
                <c:pt idx="9">
                  <c:v>69.599999999999994</c:v>
                </c:pt>
                <c:pt idx="10">
                  <c:v>71.7</c:v>
                </c:pt>
                <c:pt idx="11">
                  <c:v>60.3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A-4AA9-989C-A41CE6B07E0F}"/>
            </c:ext>
          </c:extLst>
        </c:ser>
        <c:ser>
          <c:idx val="1"/>
          <c:order val="1"/>
          <c:tx>
            <c:strRef>
              <c:f>Conversions!$D$2</c:f>
              <c:strCache>
                <c:ptCount val="1"/>
                <c:pt idx="0">
                  <c:v>Conversion 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Conversions!$B$3:$B$15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mock </c:v>
                </c:pt>
              </c:strCache>
            </c:strRef>
          </c:cat>
          <c:val>
            <c:numRef>
              <c:f>Conversions!$D$3:$D$15</c:f>
              <c:numCache>
                <c:formatCode>General</c:formatCode>
                <c:ptCount val="13"/>
                <c:pt idx="0">
                  <c:v>62.1</c:v>
                </c:pt>
                <c:pt idx="1">
                  <c:v>62</c:v>
                </c:pt>
                <c:pt idx="2">
                  <c:v>59.9</c:v>
                </c:pt>
                <c:pt idx="3">
                  <c:v>60.4</c:v>
                </c:pt>
                <c:pt idx="4">
                  <c:v>50.9</c:v>
                </c:pt>
                <c:pt idx="5">
                  <c:v>62.2</c:v>
                </c:pt>
                <c:pt idx="6">
                  <c:v>58</c:v>
                </c:pt>
                <c:pt idx="7">
                  <c:v>54.9</c:v>
                </c:pt>
                <c:pt idx="8">
                  <c:v>57.5</c:v>
                </c:pt>
                <c:pt idx="9">
                  <c:v>68.7</c:v>
                </c:pt>
                <c:pt idx="10">
                  <c:v>63.9</c:v>
                </c:pt>
                <c:pt idx="11">
                  <c:v>49.6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A-4AA9-989C-A41CE6B07E0F}"/>
            </c:ext>
          </c:extLst>
        </c:ser>
        <c:ser>
          <c:idx val="2"/>
          <c:order val="2"/>
          <c:tx>
            <c:strRef>
              <c:f>Conversions!$E$2</c:f>
              <c:strCache>
                <c:ptCount val="1"/>
                <c:pt idx="0">
                  <c:v>Conversion 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Conversions!$B$3:$B$15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mock </c:v>
                </c:pt>
              </c:strCache>
            </c:strRef>
          </c:cat>
          <c:val>
            <c:numRef>
              <c:f>Conversions!$E$3:$E$15</c:f>
              <c:numCache>
                <c:formatCode>General</c:formatCode>
                <c:ptCount val="13"/>
                <c:pt idx="0">
                  <c:v>61.2</c:v>
                </c:pt>
                <c:pt idx="1">
                  <c:v>58.3</c:v>
                </c:pt>
                <c:pt idx="2">
                  <c:v>64.7</c:v>
                </c:pt>
                <c:pt idx="3">
                  <c:v>63.6</c:v>
                </c:pt>
                <c:pt idx="4">
                  <c:v>60.4</c:v>
                </c:pt>
                <c:pt idx="5">
                  <c:v>55.3</c:v>
                </c:pt>
                <c:pt idx="6">
                  <c:v>61.6</c:v>
                </c:pt>
                <c:pt idx="7">
                  <c:v>55</c:v>
                </c:pt>
                <c:pt idx="8">
                  <c:v>61.4</c:v>
                </c:pt>
                <c:pt idx="9">
                  <c:v>59.1</c:v>
                </c:pt>
                <c:pt idx="10">
                  <c:v>58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B-4E4C-9E50-A7AC0BFFC444}"/>
            </c:ext>
          </c:extLst>
        </c:ser>
        <c:ser>
          <c:idx val="3"/>
          <c:order val="3"/>
          <c:tx>
            <c:strRef>
              <c:f>Conversions!$F$2</c:f>
              <c:strCache>
                <c:ptCount val="1"/>
                <c:pt idx="0">
                  <c:v>Conversion 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Conversions!$B$3:$B$15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mock </c:v>
                </c:pt>
              </c:strCache>
            </c:strRef>
          </c:cat>
          <c:val>
            <c:numRef>
              <c:f>Conversions!$F$3:$F$15</c:f>
              <c:numCache>
                <c:formatCode>General</c:formatCode>
                <c:ptCount val="13"/>
                <c:pt idx="0">
                  <c:v>65.400000000000006</c:v>
                </c:pt>
                <c:pt idx="1">
                  <c:v>57.5</c:v>
                </c:pt>
                <c:pt idx="2">
                  <c:v>57</c:v>
                </c:pt>
                <c:pt idx="3">
                  <c:v>61.9</c:v>
                </c:pt>
                <c:pt idx="4">
                  <c:v>61.1</c:v>
                </c:pt>
                <c:pt idx="5">
                  <c:v>59.3</c:v>
                </c:pt>
                <c:pt idx="6">
                  <c:v>55.2</c:v>
                </c:pt>
                <c:pt idx="7">
                  <c:v>66</c:v>
                </c:pt>
                <c:pt idx="8">
                  <c:v>59.2</c:v>
                </c:pt>
                <c:pt idx="9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E-44DD-B21A-451AE1B62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497775"/>
        <c:axId val="847421775"/>
      </c:barChart>
      <c:catAx>
        <c:axId val="56549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421775"/>
        <c:crosses val="autoZero"/>
        <c:auto val="1"/>
        <c:lblAlgn val="ctr"/>
        <c:lblOffset val="100"/>
        <c:noMultiLvlLbl val="0"/>
      </c:catAx>
      <c:valAx>
        <c:axId val="8474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Profit!$B$2:$B$14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 </c:v>
                </c:pt>
                <c:pt idx="8">
                  <c:v>August 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 </c:v>
                </c:pt>
                <c:pt idx="12">
                  <c:v>December</c:v>
                </c:pt>
              </c:strCache>
            </c:strRef>
          </c:cat>
          <c:val>
            <c:numRef>
              <c:f>Profit!$C$2:$C$14</c:f>
              <c:numCache>
                <c:formatCode>General</c:formatCode>
                <c:ptCount val="13"/>
                <c:pt idx="0">
                  <c:v>0</c:v>
                </c:pt>
                <c:pt idx="1">
                  <c:v>72735</c:v>
                </c:pt>
                <c:pt idx="2">
                  <c:v>71786</c:v>
                </c:pt>
                <c:pt idx="3">
                  <c:v>66645</c:v>
                </c:pt>
                <c:pt idx="4">
                  <c:v>66726</c:v>
                </c:pt>
                <c:pt idx="5">
                  <c:v>68606</c:v>
                </c:pt>
                <c:pt idx="6">
                  <c:v>76284</c:v>
                </c:pt>
                <c:pt idx="7">
                  <c:v>76961</c:v>
                </c:pt>
                <c:pt idx="8">
                  <c:v>92011</c:v>
                </c:pt>
                <c:pt idx="9">
                  <c:v>123447</c:v>
                </c:pt>
                <c:pt idx="10">
                  <c:v>109966</c:v>
                </c:pt>
                <c:pt idx="11">
                  <c:v>140981</c:v>
                </c:pt>
                <c:pt idx="12">
                  <c:v>73321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E-4466-8D02-4D11DE7F58F1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Profit!$B$2:$B$14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 </c:v>
                </c:pt>
                <c:pt idx="8">
                  <c:v>August 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 </c:v>
                </c:pt>
                <c:pt idx="12">
                  <c:v>December</c:v>
                </c:pt>
              </c:strCache>
            </c:strRef>
          </c:cat>
          <c:val>
            <c:numRef>
              <c:f>Profit!$D$2:$D$14</c:f>
              <c:numCache>
                <c:formatCode>General</c:formatCode>
                <c:ptCount val="13"/>
                <c:pt idx="0">
                  <c:v>0</c:v>
                </c:pt>
                <c:pt idx="1">
                  <c:v>75195</c:v>
                </c:pt>
                <c:pt idx="2">
                  <c:v>78969</c:v>
                </c:pt>
                <c:pt idx="3">
                  <c:v>107380</c:v>
                </c:pt>
                <c:pt idx="4">
                  <c:v>91168</c:v>
                </c:pt>
                <c:pt idx="5">
                  <c:v>112545</c:v>
                </c:pt>
                <c:pt idx="6">
                  <c:v>185968</c:v>
                </c:pt>
                <c:pt idx="7">
                  <c:v>111189</c:v>
                </c:pt>
                <c:pt idx="8">
                  <c:v>91461</c:v>
                </c:pt>
                <c:pt idx="9">
                  <c:v>126851</c:v>
                </c:pt>
                <c:pt idx="10">
                  <c:v>142821</c:v>
                </c:pt>
                <c:pt idx="11">
                  <c:v>113423</c:v>
                </c:pt>
                <c:pt idx="12">
                  <c:v>73391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E-4466-8D02-4D11DE7F58F1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Profit!$B$2:$B$14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 </c:v>
                </c:pt>
                <c:pt idx="8">
                  <c:v>August 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 </c:v>
                </c:pt>
                <c:pt idx="12">
                  <c:v>December</c:v>
                </c:pt>
              </c:strCache>
            </c:strRef>
          </c:cat>
          <c:val>
            <c:numRef>
              <c:f>Profit!$E$2:$E$14</c:f>
              <c:numCache>
                <c:formatCode>General</c:formatCode>
                <c:ptCount val="13"/>
                <c:pt idx="0">
                  <c:v>0</c:v>
                </c:pt>
                <c:pt idx="1">
                  <c:v>85567</c:v>
                </c:pt>
                <c:pt idx="2">
                  <c:v>75576</c:v>
                </c:pt>
                <c:pt idx="3">
                  <c:v>114642</c:v>
                </c:pt>
                <c:pt idx="4">
                  <c:v>95591</c:v>
                </c:pt>
                <c:pt idx="5">
                  <c:v>123912</c:v>
                </c:pt>
                <c:pt idx="6">
                  <c:v>147311</c:v>
                </c:pt>
                <c:pt idx="7">
                  <c:v>148545</c:v>
                </c:pt>
                <c:pt idx="8">
                  <c:v>100958</c:v>
                </c:pt>
                <c:pt idx="9">
                  <c:v>132197</c:v>
                </c:pt>
                <c:pt idx="10">
                  <c:v>189014</c:v>
                </c:pt>
                <c:pt idx="11">
                  <c:v>185581</c:v>
                </c:pt>
                <c:pt idx="12">
                  <c:v>64185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E-4466-8D02-4D11DE7F58F1}"/>
            </c:ext>
          </c:extLst>
        </c:ser>
        <c:ser>
          <c:idx val="3"/>
          <c:order val="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Profit!$B$2:$B$14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 </c:v>
                </c:pt>
                <c:pt idx="8">
                  <c:v>August 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 </c:v>
                </c:pt>
                <c:pt idx="12">
                  <c:v>December</c:v>
                </c:pt>
              </c:strCache>
            </c:strRef>
          </c:cat>
          <c:val>
            <c:numRef>
              <c:f>Profit!$F$2:$F$14</c:f>
              <c:numCache>
                <c:formatCode>General</c:formatCode>
                <c:ptCount val="13"/>
                <c:pt idx="0">
                  <c:v>0</c:v>
                </c:pt>
                <c:pt idx="1">
                  <c:v>109605</c:v>
                </c:pt>
                <c:pt idx="2">
                  <c:v>151625</c:v>
                </c:pt>
                <c:pt idx="3">
                  <c:v>123978</c:v>
                </c:pt>
                <c:pt idx="4">
                  <c:v>147929</c:v>
                </c:pt>
                <c:pt idx="5">
                  <c:v>117736</c:v>
                </c:pt>
                <c:pt idx="6">
                  <c:v>133940</c:v>
                </c:pt>
                <c:pt idx="7">
                  <c:v>143342</c:v>
                </c:pt>
                <c:pt idx="8">
                  <c:v>129997</c:v>
                </c:pt>
                <c:pt idx="9">
                  <c:v>163681</c:v>
                </c:pt>
                <c:pt idx="10">
                  <c:v>252641</c:v>
                </c:pt>
                <c:pt idx="11">
                  <c:v>174801</c:v>
                </c:pt>
                <c:pt idx="12">
                  <c:v>80671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F-406F-AAF3-77D4C296A27E}"/>
            </c:ext>
          </c:extLst>
        </c:ser>
        <c:ser>
          <c:idx val="4"/>
          <c:order val="4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Profit!$B$2:$B$14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 </c:v>
                </c:pt>
                <c:pt idx="8">
                  <c:v>August 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 </c:v>
                </c:pt>
                <c:pt idx="12">
                  <c:v>December</c:v>
                </c:pt>
              </c:strCache>
            </c:strRef>
          </c:cat>
          <c:val>
            <c:numRef>
              <c:f>Profit!$G$2:$G$14</c:f>
              <c:numCache>
                <c:formatCode>General</c:formatCode>
                <c:ptCount val="13"/>
                <c:pt idx="0">
                  <c:v>0</c:v>
                </c:pt>
                <c:pt idx="1">
                  <c:v>131411</c:v>
                </c:pt>
                <c:pt idx="2">
                  <c:v>137901</c:v>
                </c:pt>
                <c:pt idx="3">
                  <c:v>89135</c:v>
                </c:pt>
                <c:pt idx="4">
                  <c:v>138441</c:v>
                </c:pt>
                <c:pt idx="5">
                  <c:v>166458</c:v>
                </c:pt>
                <c:pt idx="6">
                  <c:v>175938</c:v>
                </c:pt>
                <c:pt idx="7">
                  <c:v>126161</c:v>
                </c:pt>
                <c:pt idx="8">
                  <c:v>143714</c:v>
                </c:pt>
                <c:pt idx="9">
                  <c:v>232069</c:v>
                </c:pt>
                <c:pt idx="10">
                  <c:v>364197</c:v>
                </c:pt>
                <c:pt idx="11">
                  <c:v>193674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C-464C-AAAC-B83E94AABE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59271039"/>
        <c:axId val="722971631"/>
      </c:barChart>
      <c:catAx>
        <c:axId val="45927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71631"/>
        <c:crosses val="autoZero"/>
        <c:auto val="1"/>
        <c:lblAlgn val="ctr"/>
        <c:lblOffset val="100"/>
        <c:noMultiLvlLbl val="0"/>
      </c:catAx>
      <c:valAx>
        <c:axId val="7229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710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rep'!$F$4:$F$8</c:f>
              <c:numCache>
                <c:formatCode>0.00</c:formatCode>
                <c:ptCount val="5"/>
                <c:pt idx="0">
                  <c:v>25.958702064896755</c:v>
                </c:pt>
                <c:pt idx="1">
                  <c:v>16.224188790560472</c:v>
                </c:pt>
                <c:pt idx="2">
                  <c:v>26.843657817109147</c:v>
                </c:pt>
                <c:pt idx="3">
                  <c:v>8.5545722713864301</c:v>
                </c:pt>
                <c:pt idx="4">
                  <c:v>19.764011799410032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E-479E-848F-65A809B8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895760"/>
        <c:axId val="1251307104"/>
      </c:barChart>
      <c:catAx>
        <c:axId val="12598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07104"/>
        <c:crosses val="autoZero"/>
        <c:auto val="1"/>
        <c:lblAlgn val="ctr"/>
        <c:lblOffset val="100"/>
        <c:noMultiLvlLbl val="0"/>
      </c:catAx>
      <c:valAx>
        <c:axId val="12513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rep'!$E$4:$E$8</c:f>
              <c:numCache>
                <c:formatCode>General</c:formatCode>
                <c:ptCount val="5"/>
                <c:pt idx="0">
                  <c:v>88</c:v>
                </c:pt>
                <c:pt idx="1">
                  <c:v>55</c:v>
                </c:pt>
                <c:pt idx="2">
                  <c:v>91</c:v>
                </c:pt>
                <c:pt idx="3">
                  <c:v>29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8-4340-8EA7-CA1F0D59AE66}"/>
            </c:ext>
          </c:extLst>
        </c:ser>
        <c:ser>
          <c:idx val="1"/>
          <c:order val="1"/>
          <c:tx>
            <c:strRef>
              <c:f>'JAN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rep'!$G$4:$G$8</c:f>
              <c:numCache>
                <c:formatCode>General</c:formatCode>
                <c:ptCount val="5"/>
                <c:pt idx="0">
                  <c:v>57</c:v>
                </c:pt>
                <c:pt idx="1">
                  <c:v>37</c:v>
                </c:pt>
                <c:pt idx="2">
                  <c:v>50</c:v>
                </c:pt>
                <c:pt idx="3">
                  <c:v>11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8-4340-8EA7-CA1F0D59AE66}"/>
            </c:ext>
          </c:extLst>
        </c:ser>
        <c:ser>
          <c:idx val="2"/>
          <c:order val="2"/>
          <c:tx>
            <c:strRef>
              <c:f>'JAN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rep'!$H$4:$H$8</c:f>
              <c:numCache>
                <c:formatCode>0</c:formatCode>
                <c:ptCount val="5"/>
                <c:pt idx="0">
                  <c:v>64.772727272727266</c:v>
                </c:pt>
                <c:pt idx="1">
                  <c:v>67.272727272727266</c:v>
                </c:pt>
                <c:pt idx="2">
                  <c:v>54.945054945054949</c:v>
                </c:pt>
                <c:pt idx="3">
                  <c:v>37.931034482758619</c:v>
                </c:pt>
                <c:pt idx="4">
                  <c:v>73.134328358208961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8-4340-8EA7-CA1F0D59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rep'!$I$4:$I$8</c:f>
              <c:numCache>
                <c:formatCode>General</c:formatCode>
                <c:ptCount val="5"/>
                <c:pt idx="0">
                  <c:v>28153</c:v>
                </c:pt>
                <c:pt idx="1">
                  <c:v>15123</c:v>
                </c:pt>
                <c:pt idx="2">
                  <c:v>9292</c:v>
                </c:pt>
                <c:pt idx="3">
                  <c:v>5014</c:v>
                </c:pt>
                <c:pt idx="4">
                  <c:v>39635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B-4EB2-93C3-A7BC04B47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500159"/>
        <c:axId val="1075500639"/>
      </c:barChart>
      <c:catAx>
        <c:axId val="107550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00639"/>
        <c:crosses val="autoZero"/>
        <c:auto val="1"/>
        <c:lblAlgn val="ctr"/>
        <c:lblOffset val="100"/>
        <c:noMultiLvlLbl val="0"/>
      </c:catAx>
      <c:valAx>
        <c:axId val="10755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0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'JAN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06-434B-B63A-D1F1C98BD1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06-434B-B63A-D1F1C98BD1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06-434B-B63A-D1F1C98BD1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06-434B-B63A-D1F1C98BD1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06-434B-B63A-D1F1C98BD160}"/>
              </c:ext>
            </c:extLst>
          </c:dPt>
          <c:cat>
            <c:strRef>
              <c:f>'JAN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'JAN per sales rep'!$I$4:$I$8</c:f>
              <c:numCache>
                <c:formatCode>General</c:formatCode>
                <c:ptCount val="5"/>
                <c:pt idx="0">
                  <c:v>28153</c:v>
                </c:pt>
                <c:pt idx="1">
                  <c:v>15123</c:v>
                </c:pt>
                <c:pt idx="2">
                  <c:v>9292</c:v>
                </c:pt>
                <c:pt idx="3">
                  <c:v>5014</c:v>
                </c:pt>
                <c:pt idx="4">
                  <c:v>39635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7-402C-861A-67365BAC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'FEB per sales rep'!$E$4:$E$8</c:f>
              <c:numCache>
                <c:formatCode>General</c:formatCode>
                <c:ptCount val="5"/>
                <c:pt idx="0">
                  <c:v>124</c:v>
                </c:pt>
                <c:pt idx="1">
                  <c:v>84</c:v>
                </c:pt>
                <c:pt idx="2">
                  <c:v>81</c:v>
                </c:pt>
                <c:pt idx="3">
                  <c:v>30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7-48DD-9377-4B56206C83A4}"/>
            </c:ext>
          </c:extLst>
        </c:ser>
        <c:ser>
          <c:idx val="1"/>
          <c:order val="1"/>
          <c:tx>
            <c:strRef>
              <c:f>'FEB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'FEB per sales rep'!$G$4:$G$8</c:f>
              <c:numCache>
                <c:formatCode>General</c:formatCode>
                <c:ptCount val="5"/>
                <c:pt idx="0">
                  <c:v>77</c:v>
                </c:pt>
                <c:pt idx="1">
                  <c:v>44</c:v>
                </c:pt>
                <c:pt idx="2">
                  <c:v>47</c:v>
                </c:pt>
                <c:pt idx="3">
                  <c:v>13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7-48DD-9377-4B56206C83A4}"/>
            </c:ext>
          </c:extLst>
        </c:ser>
        <c:ser>
          <c:idx val="2"/>
          <c:order val="2"/>
          <c:tx>
            <c:strRef>
              <c:f>'FEB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'FEB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'FEB per sales rep'!$H$4:$H$8</c:f>
              <c:numCache>
                <c:formatCode>0</c:formatCode>
                <c:ptCount val="5"/>
                <c:pt idx="0">
                  <c:v>62.096774193548384</c:v>
                </c:pt>
                <c:pt idx="1">
                  <c:v>52.380952380952387</c:v>
                </c:pt>
                <c:pt idx="2">
                  <c:v>58.024691358024697</c:v>
                </c:pt>
                <c:pt idx="3">
                  <c:v>43.333333333333336</c:v>
                </c:pt>
                <c:pt idx="4">
                  <c:v>64.179104477611943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7-48DD-9377-4B56206C8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'FEB per sales rep'!$I$4:$I$8</c:f>
              <c:numCache>
                <c:formatCode>General</c:formatCode>
                <c:ptCount val="5"/>
                <c:pt idx="0">
                  <c:v>31115</c:v>
                </c:pt>
                <c:pt idx="1">
                  <c:v>15353</c:v>
                </c:pt>
                <c:pt idx="2">
                  <c:v>10195</c:v>
                </c:pt>
                <c:pt idx="3">
                  <c:v>2319</c:v>
                </c:pt>
                <c:pt idx="4">
                  <c:v>50347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F-4B18-913F-D203BA6C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21327"/>
        <c:axId val="558093871"/>
      </c:barChart>
      <c:catAx>
        <c:axId val="79482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93871"/>
        <c:crosses val="autoZero"/>
        <c:auto val="1"/>
        <c:lblAlgn val="ctr"/>
        <c:lblOffset val="100"/>
        <c:noMultiLvlLbl val="0"/>
      </c:catAx>
      <c:valAx>
        <c:axId val="55809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2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35-41D2-9C67-685980C87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35-41D2-9C67-685980C87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35-41D2-9C67-685980C87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35-41D2-9C67-685980C87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35-41D2-9C67-685980C87F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35-41D2-9C67-685980C87F18}"/>
              </c:ext>
            </c:extLst>
          </c:dPt>
          <c:cat>
            <c:strRef>
              <c:f>'FEB per sales rep'!$D$3:$D$8</c:f>
              <c:strCache>
                <c:ptCount val="6"/>
                <c:pt idx="1">
                  <c:v>HARDUS</c:v>
                </c:pt>
                <c:pt idx="2">
                  <c:v>BUX</c:v>
                </c:pt>
                <c:pt idx="3">
                  <c:v>BERNIE</c:v>
                </c:pt>
                <c:pt idx="4">
                  <c:v>CAT</c:v>
                </c:pt>
                <c:pt idx="5">
                  <c:v>JOHAN</c:v>
                </c:pt>
              </c:strCache>
            </c:strRef>
          </c:cat>
          <c:val>
            <c:numRef>
              <c:f>'FEB per sales rep'!$F$3:$F$8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36.578171091445427</c:v>
                </c:pt>
                <c:pt idx="2">
                  <c:v>24.778761061946902</c:v>
                </c:pt>
                <c:pt idx="3">
                  <c:v>23.893805309734514</c:v>
                </c:pt>
                <c:pt idx="4">
                  <c:v>8.8495575221238933</c:v>
                </c:pt>
                <c:pt idx="5">
                  <c:v>19.764011799410032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2-4630-85F7-290D9C7D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'FEB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24-426D-9B3F-2C041F700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24-426D-9B3F-2C041F700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24-426D-9B3F-2C041F700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24-426D-9B3F-2C041F7001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24-426D-9B3F-2C041F700138}"/>
              </c:ext>
            </c:extLst>
          </c:dPt>
          <c:cat>
            <c:strRef>
              <c:f>'FEB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'FEB per sales rep'!$I$4:$I$8</c:f>
              <c:numCache>
                <c:formatCode>General</c:formatCode>
                <c:ptCount val="5"/>
                <c:pt idx="0">
                  <c:v>31115</c:v>
                </c:pt>
                <c:pt idx="1">
                  <c:v>15353</c:v>
                </c:pt>
                <c:pt idx="2">
                  <c:v>10195</c:v>
                </c:pt>
                <c:pt idx="3">
                  <c:v>2319</c:v>
                </c:pt>
                <c:pt idx="4">
                  <c:v>50347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E-4852-90D0-424466B7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'MARCH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88-428A-A42B-7AE2745E5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88-428A-A42B-7AE2745E5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88-428A-A42B-7AE2745E5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88-428A-A42B-7AE2745E59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88-428A-A42B-7AE2745E59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rep'!$F$4:$F$8</c:f>
              <c:numCache>
                <c:formatCode>0.00</c:formatCode>
                <c:ptCount val="5"/>
                <c:pt idx="0">
                  <c:v>30.508474576271187</c:v>
                </c:pt>
                <c:pt idx="1">
                  <c:v>16.101694915254235</c:v>
                </c:pt>
                <c:pt idx="2">
                  <c:v>16.949152542372879</c:v>
                </c:pt>
                <c:pt idx="3">
                  <c:v>11.864406779661017</c:v>
                </c:pt>
                <c:pt idx="4">
                  <c:v>23.728813559322035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0-4AE8-8080-4FAC77889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'MARCH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rep'!$E$4:$E$8</c:f>
              <c:numCache>
                <c:formatCode>General</c:formatCode>
                <c:ptCount val="5"/>
                <c:pt idx="0">
                  <c:v>108</c:v>
                </c:pt>
                <c:pt idx="1">
                  <c:v>57</c:v>
                </c:pt>
                <c:pt idx="2">
                  <c:v>60</c:v>
                </c:pt>
                <c:pt idx="3">
                  <c:v>42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0-492F-A090-E035EF895EA4}"/>
            </c:ext>
          </c:extLst>
        </c:ser>
        <c:ser>
          <c:idx val="1"/>
          <c:order val="1"/>
          <c:tx>
            <c:strRef>
              <c:f>'MARCH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rep'!$G$4:$G$8</c:f>
              <c:numCache>
                <c:formatCode>General</c:formatCode>
                <c:ptCount val="5"/>
                <c:pt idx="0">
                  <c:v>64</c:v>
                </c:pt>
                <c:pt idx="1">
                  <c:v>39</c:v>
                </c:pt>
                <c:pt idx="2">
                  <c:v>36</c:v>
                </c:pt>
                <c:pt idx="3">
                  <c:v>21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0-492F-A090-E035EF895EA4}"/>
            </c:ext>
          </c:extLst>
        </c:ser>
        <c:ser>
          <c:idx val="2"/>
          <c:order val="2"/>
          <c:tx>
            <c:strRef>
              <c:f>'MARCH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rep'!$H$4:$H$8</c:f>
              <c:numCache>
                <c:formatCode>0</c:formatCode>
                <c:ptCount val="5"/>
                <c:pt idx="0">
                  <c:v>59.259259259259252</c:v>
                </c:pt>
                <c:pt idx="1">
                  <c:v>68.421052631578945</c:v>
                </c:pt>
                <c:pt idx="2">
                  <c:v>60</c:v>
                </c:pt>
                <c:pt idx="3">
                  <c:v>54</c:v>
                </c:pt>
                <c:pt idx="4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0-492F-A090-E035EF89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rep'!$I$4:$I$8</c:f>
              <c:numCache>
                <c:formatCode>General</c:formatCode>
                <c:ptCount val="5"/>
                <c:pt idx="0">
                  <c:v>25000</c:v>
                </c:pt>
                <c:pt idx="1">
                  <c:v>22886</c:v>
                </c:pt>
                <c:pt idx="2">
                  <c:v>11656</c:v>
                </c:pt>
                <c:pt idx="3">
                  <c:v>3907</c:v>
                </c:pt>
                <c:pt idx="4">
                  <c:v>57379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9-41E0-9E05-9D9C8EE76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11248"/>
        <c:axId val="51314128"/>
      </c:barChart>
      <c:catAx>
        <c:axId val="513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4128"/>
        <c:crosses val="autoZero"/>
        <c:auto val="1"/>
        <c:lblAlgn val="ctr"/>
        <c:lblOffset val="100"/>
        <c:noMultiLvlLbl val="0"/>
      </c:catAx>
      <c:valAx>
        <c:axId val="513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'MARCH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14-43B1-AFBE-1EBB227CC9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14-43B1-AFBE-1EBB227CC9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14-43B1-AFBE-1EBB227CC9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14-43B1-AFBE-1EBB227CC9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14-43B1-AFBE-1EBB227CC97C}"/>
              </c:ext>
            </c:extLst>
          </c:dPt>
          <c:cat>
            <c:strRef>
              <c:f>'MARCH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'MARCH per sales rep'!$I$4:$I$8</c:f>
              <c:numCache>
                <c:formatCode>General</c:formatCode>
                <c:ptCount val="5"/>
                <c:pt idx="0">
                  <c:v>25000</c:v>
                </c:pt>
                <c:pt idx="1">
                  <c:v>22886</c:v>
                </c:pt>
                <c:pt idx="2">
                  <c:v>11656</c:v>
                </c:pt>
                <c:pt idx="3">
                  <c:v>3907</c:v>
                </c:pt>
                <c:pt idx="4">
                  <c:v>57379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E-4AA0-ADA6-AC8F0486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'APRIL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5-4E2E-A3F7-C1087F3B3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5-4E2E-A3F7-C1087F3B3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55-4E2E-A3F7-C1087F3B39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55-4E2E-A3F7-C1087F3B39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55-4E2E-A3F7-C1087F3B3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rep'!$F$4:$F$8</c:f>
              <c:numCache>
                <c:formatCode>0.00</c:formatCode>
                <c:ptCount val="5"/>
                <c:pt idx="0">
                  <c:v>26.530612244897959</c:v>
                </c:pt>
                <c:pt idx="1">
                  <c:v>18.075801749271136</c:v>
                </c:pt>
                <c:pt idx="2">
                  <c:v>21.282798833819243</c:v>
                </c:pt>
                <c:pt idx="3">
                  <c:v>8.4548104956268215</c:v>
                </c:pt>
                <c:pt idx="4">
                  <c:v>19.241982507288629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55-4E2E-A3F7-C1087F3B3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rep'!$E$4:$E$8</c:f>
              <c:numCache>
                <c:formatCode>General</c:formatCode>
                <c:ptCount val="5"/>
                <c:pt idx="0">
                  <c:v>91</c:v>
                </c:pt>
                <c:pt idx="1">
                  <c:v>62</c:v>
                </c:pt>
                <c:pt idx="2">
                  <c:v>73</c:v>
                </c:pt>
                <c:pt idx="3">
                  <c:v>29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6-4979-BEFB-0FB6C2D089D2}"/>
            </c:ext>
          </c:extLst>
        </c:ser>
        <c:ser>
          <c:idx val="1"/>
          <c:order val="1"/>
          <c:tx>
            <c:strRef>
              <c:f>'APRIL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rep'!$G$4:$G$8</c:f>
              <c:numCache>
                <c:formatCode>General</c:formatCode>
                <c:ptCount val="5"/>
                <c:pt idx="0">
                  <c:v>54</c:v>
                </c:pt>
                <c:pt idx="1">
                  <c:v>38</c:v>
                </c:pt>
                <c:pt idx="2">
                  <c:v>50</c:v>
                </c:pt>
                <c:pt idx="3">
                  <c:v>19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6-4979-BEFB-0FB6C2D089D2}"/>
            </c:ext>
          </c:extLst>
        </c:ser>
        <c:ser>
          <c:idx val="2"/>
          <c:order val="2"/>
          <c:tx>
            <c:strRef>
              <c:f>'APRIL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rep'!$H$4:$H$8</c:f>
              <c:numCache>
                <c:formatCode>0</c:formatCode>
                <c:ptCount val="5"/>
                <c:pt idx="0">
                  <c:v>57</c:v>
                </c:pt>
                <c:pt idx="1">
                  <c:v>61.29032258064516</c:v>
                </c:pt>
                <c:pt idx="2">
                  <c:v>68.493150684931507</c:v>
                </c:pt>
                <c:pt idx="3">
                  <c:v>65.517241379310349</c:v>
                </c:pt>
                <c:pt idx="4">
                  <c:v>72.727272727272734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6-4979-BEFB-0FB6C2D0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rep'!$I$4:$I$8</c:f>
              <c:numCache>
                <c:formatCode>General</c:formatCode>
                <c:ptCount val="5"/>
                <c:pt idx="0">
                  <c:v>14308</c:v>
                </c:pt>
                <c:pt idx="1">
                  <c:v>41399</c:v>
                </c:pt>
                <c:pt idx="2">
                  <c:v>16682</c:v>
                </c:pt>
                <c:pt idx="3">
                  <c:v>4514</c:v>
                </c:pt>
                <c:pt idx="4">
                  <c:v>41025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2-4595-9A7C-E53C1C170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83263"/>
        <c:axId val="1075487583"/>
      </c:barChart>
      <c:catAx>
        <c:axId val="107548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87583"/>
        <c:crosses val="autoZero"/>
        <c:auto val="1"/>
        <c:lblAlgn val="ctr"/>
        <c:lblOffset val="100"/>
        <c:noMultiLvlLbl val="0"/>
      </c:catAx>
      <c:valAx>
        <c:axId val="10754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8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'APRIL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6A-43AB-83E7-F2A65E92E7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6A-43AB-83E7-F2A65E92E7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6A-43AB-83E7-F2A65E92E7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6A-43AB-83E7-F2A65E92E7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6A-43AB-83E7-F2A65E92E7B5}"/>
              </c:ext>
            </c:extLst>
          </c:dPt>
          <c:cat>
            <c:strRef>
              <c:f>'APRIL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'APRIL per sales rep'!$I$4:$I$8</c:f>
              <c:numCache>
                <c:formatCode>General</c:formatCode>
                <c:ptCount val="5"/>
                <c:pt idx="0">
                  <c:v>14308</c:v>
                </c:pt>
                <c:pt idx="1">
                  <c:v>41399</c:v>
                </c:pt>
                <c:pt idx="2">
                  <c:v>16682</c:v>
                </c:pt>
                <c:pt idx="3">
                  <c:v>4514</c:v>
                </c:pt>
                <c:pt idx="4">
                  <c:v>41025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4-4024-80DD-F26F12E60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'MAY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4D-4C6C-9674-F1D3EB30B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4D-4C6C-9674-F1D3EB30B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4D-4C6C-9674-F1D3EB30B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4D-4C6C-9674-F1D3EB30B1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4D-4C6C-9674-F1D3EB30B1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rep'!$F$4:$F$8</c:f>
              <c:numCache>
                <c:formatCode>0.00</c:formatCode>
                <c:ptCount val="5"/>
                <c:pt idx="0">
                  <c:v>27.06766917293233</c:v>
                </c:pt>
                <c:pt idx="1">
                  <c:v>16.290726817042607</c:v>
                </c:pt>
                <c:pt idx="2">
                  <c:v>21.052631578947366</c:v>
                </c:pt>
                <c:pt idx="3">
                  <c:v>4.2606516290726812</c:v>
                </c:pt>
                <c:pt idx="4">
                  <c:v>22.055137844611529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4D-4C6C-9674-F1D3EB30B1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rep'!$E$4:$E$8</c:f>
              <c:numCache>
                <c:formatCode>General</c:formatCode>
                <c:ptCount val="5"/>
                <c:pt idx="0">
                  <c:v>108</c:v>
                </c:pt>
                <c:pt idx="1">
                  <c:v>65</c:v>
                </c:pt>
                <c:pt idx="2">
                  <c:v>84</c:v>
                </c:pt>
                <c:pt idx="3">
                  <c:v>17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B-4791-AB85-24457B7204E9}"/>
            </c:ext>
          </c:extLst>
        </c:ser>
        <c:ser>
          <c:idx val="1"/>
          <c:order val="1"/>
          <c:tx>
            <c:strRef>
              <c:f>'MAY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rep'!$G$4:$G$8</c:f>
              <c:numCache>
                <c:formatCode>General</c:formatCode>
                <c:ptCount val="5"/>
                <c:pt idx="0">
                  <c:v>64</c:v>
                </c:pt>
                <c:pt idx="1">
                  <c:v>40</c:v>
                </c:pt>
                <c:pt idx="2">
                  <c:v>44</c:v>
                </c:pt>
                <c:pt idx="3">
                  <c:v>6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B-4791-AB85-24457B7204E9}"/>
            </c:ext>
          </c:extLst>
        </c:ser>
        <c:ser>
          <c:idx val="2"/>
          <c:order val="2"/>
          <c:tx>
            <c:strRef>
              <c:f>'MAY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rep'!$H$4:$H$8</c:f>
              <c:numCache>
                <c:formatCode>0</c:formatCode>
                <c:ptCount val="5"/>
                <c:pt idx="0">
                  <c:v>59.259259259259252</c:v>
                </c:pt>
                <c:pt idx="1">
                  <c:v>61.53846153846154</c:v>
                </c:pt>
                <c:pt idx="2">
                  <c:v>52.380952380952387</c:v>
                </c:pt>
                <c:pt idx="3">
                  <c:v>35.294117647058826</c:v>
                </c:pt>
                <c:pt idx="4">
                  <c:v>80.681818181818173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B-4791-AB85-24457B72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rep'!$I$4:$I$8</c:f>
              <c:numCache>
                <c:formatCode>General</c:formatCode>
                <c:ptCount val="5"/>
                <c:pt idx="0">
                  <c:v>22931</c:v>
                </c:pt>
                <c:pt idx="1">
                  <c:v>17890</c:v>
                </c:pt>
                <c:pt idx="2">
                  <c:v>11927</c:v>
                </c:pt>
                <c:pt idx="3">
                  <c:v>4413</c:v>
                </c:pt>
                <c:pt idx="4">
                  <c:v>40918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B-4D61-9EF3-F55C64D23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'MAY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36-4342-A0F1-3CB6640C3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36-4342-A0F1-3CB6640C3C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36-4342-A0F1-3CB6640C3C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36-4342-A0F1-3CB6640C3C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36-4342-A0F1-3CB6640C3C76}"/>
              </c:ext>
            </c:extLst>
          </c:dPt>
          <c:cat>
            <c:strRef>
              <c:f>'MAY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'MAY per sales rep'!$I$4:$I$8</c:f>
              <c:numCache>
                <c:formatCode>General</c:formatCode>
                <c:ptCount val="5"/>
                <c:pt idx="0">
                  <c:v>22931</c:v>
                </c:pt>
                <c:pt idx="1">
                  <c:v>17890</c:v>
                </c:pt>
                <c:pt idx="2">
                  <c:v>11927</c:v>
                </c:pt>
                <c:pt idx="3">
                  <c:v>4413</c:v>
                </c:pt>
                <c:pt idx="4">
                  <c:v>40918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E-4154-B5D5-C5C2225F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'JUNE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EE-428C-8EEA-AE85AD3CD2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EE-428C-8EEA-AE85AD3CD2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EE-428C-8EEA-AE85AD3CD2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EE-428C-8EEA-AE85AD3CD2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EE-428C-8EEA-AE85AD3CD2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rep'!$F$4:$F$8</c:f>
              <c:numCache>
                <c:formatCode>0.00</c:formatCode>
                <c:ptCount val="5"/>
                <c:pt idx="0">
                  <c:v>26.785714285714285</c:v>
                </c:pt>
                <c:pt idx="1">
                  <c:v>24.107142857142858</c:v>
                </c:pt>
                <c:pt idx="2">
                  <c:v>24.404761904761905</c:v>
                </c:pt>
                <c:pt idx="3">
                  <c:v>2.6785714285714284</c:v>
                </c:pt>
                <c:pt idx="4">
                  <c:v>16.071428571428573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EE-428C-8EEA-AE85AD3CD2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'JUNE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rep'!$E$4:$E$8</c:f>
              <c:numCache>
                <c:formatCode>General</c:formatCode>
                <c:ptCount val="5"/>
                <c:pt idx="0">
                  <c:v>90</c:v>
                </c:pt>
                <c:pt idx="1">
                  <c:v>81</c:v>
                </c:pt>
                <c:pt idx="2">
                  <c:v>82</c:v>
                </c:pt>
                <c:pt idx="3">
                  <c:v>9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704-912D-C7F250BFC246}"/>
            </c:ext>
          </c:extLst>
        </c:ser>
        <c:ser>
          <c:idx val="1"/>
          <c:order val="1"/>
          <c:tx>
            <c:strRef>
              <c:f>'JUNE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rep'!$G$4:$G$8</c:f>
              <c:numCache>
                <c:formatCode>General</c:formatCode>
                <c:ptCount val="5"/>
                <c:pt idx="0">
                  <c:v>50</c:v>
                </c:pt>
                <c:pt idx="1">
                  <c:v>36</c:v>
                </c:pt>
                <c:pt idx="2">
                  <c:v>43</c:v>
                </c:pt>
                <c:pt idx="3">
                  <c:v>7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E-4704-912D-C7F250BFC246}"/>
            </c:ext>
          </c:extLst>
        </c:ser>
        <c:ser>
          <c:idx val="2"/>
          <c:order val="2"/>
          <c:tx>
            <c:strRef>
              <c:f>'JUNE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rep'!$H$4:$H$8</c:f>
              <c:numCache>
                <c:formatCode>0</c:formatCode>
                <c:ptCount val="5"/>
                <c:pt idx="0">
                  <c:v>55.555555555555557</c:v>
                </c:pt>
                <c:pt idx="1">
                  <c:v>44.444444444444443</c:v>
                </c:pt>
                <c:pt idx="2">
                  <c:v>52.439024390243901</c:v>
                </c:pt>
                <c:pt idx="3">
                  <c:v>77.777777777777786</c:v>
                </c:pt>
                <c:pt idx="4">
                  <c:v>75.925925925925924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BE-4704-912D-C7F250BFC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rep'!$I$4:$I$8</c:f>
              <c:numCache>
                <c:formatCode>General</c:formatCode>
                <c:ptCount val="5"/>
                <c:pt idx="0">
                  <c:v>29838</c:v>
                </c:pt>
                <c:pt idx="1">
                  <c:v>19771</c:v>
                </c:pt>
                <c:pt idx="2">
                  <c:v>18213</c:v>
                </c:pt>
                <c:pt idx="3">
                  <c:v>5148</c:v>
                </c:pt>
                <c:pt idx="4">
                  <c:v>56038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3-4417-9B8B-5FEB7654F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'JUNE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0C-4FBB-937E-FD91FB2B47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0C-4FBB-937E-FD91FB2B47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0C-4FBB-937E-FD91FB2B47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0C-4FBB-937E-FD91FB2B47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0C-4FBB-937E-FD91FB2B47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'JUNE per sales rep'!$D$4:$D$8</c:f>
              <c:strCache>
                <c:ptCount val="5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CAT</c:v>
                </c:pt>
                <c:pt idx="4">
                  <c:v>JOHAN</c:v>
                </c:pt>
              </c:strCache>
            </c:strRef>
          </c:cat>
          <c:val>
            <c:numRef>
              <c:f>'JUNE per sales rep'!$I$4:$I$8</c:f>
              <c:numCache>
                <c:formatCode>General</c:formatCode>
                <c:ptCount val="5"/>
                <c:pt idx="0">
                  <c:v>29838</c:v>
                </c:pt>
                <c:pt idx="1">
                  <c:v>19771</c:v>
                </c:pt>
                <c:pt idx="2">
                  <c:v>18213</c:v>
                </c:pt>
                <c:pt idx="3">
                  <c:v>5148</c:v>
                </c:pt>
                <c:pt idx="4">
                  <c:v>56038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4-4340-B2F9-A3E56E68E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'JULY per sales rep 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AD-482C-AEBC-9A279CA46F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D-482C-AEBC-9A279CA46F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AD-482C-AEBC-9A279CA46F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AD-482C-AEBC-9A279CA46F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'!$F$4:$F$7</c:f>
              <c:numCache>
                <c:formatCode>0.00</c:formatCode>
                <c:ptCount val="4"/>
                <c:pt idx="0">
                  <c:v>26.426426426426424</c:v>
                </c:pt>
                <c:pt idx="1">
                  <c:v>22.222222222222221</c:v>
                </c:pt>
                <c:pt idx="2">
                  <c:v>20.12012012012012</c:v>
                </c:pt>
                <c:pt idx="3">
                  <c:v>24.624624624624623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AD-482C-AEBC-9A279CA46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per sales rep 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'!$E$4:$E$7</c:f>
              <c:numCache>
                <c:formatCode>General</c:formatCode>
                <c:ptCount val="4"/>
                <c:pt idx="0">
                  <c:v>88</c:v>
                </c:pt>
                <c:pt idx="1">
                  <c:v>74</c:v>
                </c:pt>
                <c:pt idx="2">
                  <c:v>67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B-4CD3-96C9-BEB8276505A2}"/>
            </c:ext>
          </c:extLst>
        </c:ser>
        <c:ser>
          <c:idx val="1"/>
          <c:order val="1"/>
          <c:tx>
            <c:strRef>
              <c:f>'JULY per sales rep 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'!$G$4:$G$7</c:f>
              <c:numCache>
                <c:formatCode>General</c:formatCode>
                <c:ptCount val="4"/>
                <c:pt idx="0">
                  <c:v>53</c:v>
                </c:pt>
                <c:pt idx="1">
                  <c:v>35</c:v>
                </c:pt>
                <c:pt idx="2">
                  <c:v>38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B-4CD3-96C9-BEB8276505A2}"/>
            </c:ext>
          </c:extLst>
        </c:ser>
        <c:ser>
          <c:idx val="2"/>
          <c:order val="2"/>
          <c:tx>
            <c:strRef>
              <c:f>'JULY per sales rep 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'!$H$4:$H$7</c:f>
              <c:numCache>
                <c:formatCode>0</c:formatCode>
                <c:ptCount val="4"/>
                <c:pt idx="0">
                  <c:v>60.227272727272727</c:v>
                </c:pt>
                <c:pt idx="1">
                  <c:v>47.297297297297298</c:v>
                </c:pt>
                <c:pt idx="2">
                  <c:v>56.71641791044776</c:v>
                </c:pt>
                <c:pt idx="3">
                  <c:v>68.292682926829272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B-4CD3-96C9-BEB827650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'!$I$4:$I$7</c:f>
              <c:numCache>
                <c:formatCode>General</c:formatCode>
                <c:ptCount val="4"/>
                <c:pt idx="0">
                  <c:v>34036</c:v>
                </c:pt>
                <c:pt idx="1">
                  <c:v>35615</c:v>
                </c:pt>
                <c:pt idx="2">
                  <c:v>19589</c:v>
                </c:pt>
                <c:pt idx="3">
                  <c:v>45800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5-4A49-8E06-F2F8D05E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'JULY per sales rep 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20-4177-813F-2ED474BF36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20-4177-813F-2ED474BF36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20-4177-813F-2ED474BF36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20-4177-813F-2ED474BF36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'JULY per sales rep 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'JULY per sales rep '!$I$4:$I$7</c:f>
              <c:numCache>
                <c:formatCode>General</c:formatCode>
                <c:ptCount val="4"/>
                <c:pt idx="0">
                  <c:v>34036</c:v>
                </c:pt>
                <c:pt idx="1">
                  <c:v>35615</c:v>
                </c:pt>
                <c:pt idx="2">
                  <c:v>19589</c:v>
                </c:pt>
                <c:pt idx="3">
                  <c:v>45800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20-4177-813F-2ED474BF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'AUG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EB-4107-9A39-A3283D8BCE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EB-4107-9A39-A3283D8BCE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EB-4107-9A39-A3283D8BCE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EB-4107-9A39-A3283D8BC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rep'!$F$4:$F$7</c:f>
              <c:numCache>
                <c:formatCode>0.00</c:formatCode>
                <c:ptCount val="4"/>
                <c:pt idx="0">
                  <c:v>30.215827338129497</c:v>
                </c:pt>
                <c:pt idx="1">
                  <c:v>24.100719424460433</c:v>
                </c:pt>
                <c:pt idx="2">
                  <c:v>20.14388489208633</c:v>
                </c:pt>
                <c:pt idx="3">
                  <c:v>21.223021582733814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EB-4107-9A39-A3283D8BCE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rep'!$E$4:$E$7</c:f>
              <c:numCache>
                <c:formatCode>General</c:formatCode>
                <c:ptCount val="4"/>
                <c:pt idx="0">
                  <c:v>84</c:v>
                </c:pt>
                <c:pt idx="1">
                  <c:v>67</c:v>
                </c:pt>
                <c:pt idx="2">
                  <c:v>56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2-454B-883F-3D7812D78823}"/>
            </c:ext>
          </c:extLst>
        </c:ser>
        <c:ser>
          <c:idx val="1"/>
          <c:order val="1"/>
          <c:tx>
            <c:strRef>
              <c:f>'AUG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rep'!$G$4:$G$7</c:f>
              <c:numCache>
                <c:formatCode>General</c:formatCode>
                <c:ptCount val="4"/>
                <c:pt idx="0">
                  <c:v>52</c:v>
                </c:pt>
                <c:pt idx="1">
                  <c:v>26</c:v>
                </c:pt>
                <c:pt idx="2">
                  <c:v>25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2-454B-883F-3D7812D78823}"/>
            </c:ext>
          </c:extLst>
        </c:ser>
        <c:ser>
          <c:idx val="2"/>
          <c:order val="2"/>
          <c:tx>
            <c:strRef>
              <c:f>'AUG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rep'!$H$4:$H$7</c:f>
              <c:numCache>
                <c:formatCode>0</c:formatCode>
                <c:ptCount val="4"/>
                <c:pt idx="0">
                  <c:v>62</c:v>
                </c:pt>
                <c:pt idx="1">
                  <c:v>39</c:v>
                </c:pt>
                <c:pt idx="2">
                  <c:v>45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2-454B-883F-3D7812D7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rep'!$I$4:$I$7</c:f>
              <c:numCache>
                <c:formatCode>General</c:formatCode>
                <c:ptCount val="4"/>
                <c:pt idx="0">
                  <c:v>32288</c:v>
                </c:pt>
                <c:pt idx="1">
                  <c:v>19878</c:v>
                </c:pt>
                <c:pt idx="2">
                  <c:v>15370</c:v>
                </c:pt>
                <c:pt idx="3">
                  <c:v>53663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F-4655-B088-FFC3A750A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'AUG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0-44D1-81B5-73041C2A0D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70-44D1-81B5-73041C2A0D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70-44D1-81B5-73041C2A0D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70-44D1-81B5-73041C2A0D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'AUG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'AUG per sales rep'!$I$4:$I$7</c:f>
              <c:numCache>
                <c:formatCode>General</c:formatCode>
                <c:ptCount val="4"/>
                <c:pt idx="0">
                  <c:v>32288</c:v>
                </c:pt>
                <c:pt idx="1">
                  <c:v>19878</c:v>
                </c:pt>
                <c:pt idx="2">
                  <c:v>15370</c:v>
                </c:pt>
                <c:pt idx="3">
                  <c:v>53663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70-44D1-81B5-73041C2A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'SEPT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21-4A1F-8B61-D1F4A772FC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21-4A1F-8B61-D1F4A772FC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21-4A1F-8B61-D1F4A772FC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21-4A1F-8B61-D1F4A772F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rep'!$F$4:$F$7</c:f>
              <c:numCache>
                <c:formatCode>0.00</c:formatCode>
                <c:ptCount val="4"/>
                <c:pt idx="0">
                  <c:v>28.571428571428569</c:v>
                </c:pt>
                <c:pt idx="1">
                  <c:v>24.857142857142858</c:v>
                </c:pt>
                <c:pt idx="2">
                  <c:v>20.857142857142858</c:v>
                </c:pt>
                <c:pt idx="3">
                  <c:v>21.142857142857142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21-4A1F-8B61-D1F4A772F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'SEPT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rep'!$E$4:$E$7</c:f>
              <c:numCache>
                <c:formatCode>General</c:formatCode>
                <c:ptCount val="4"/>
                <c:pt idx="0">
                  <c:v>100</c:v>
                </c:pt>
                <c:pt idx="1">
                  <c:v>87</c:v>
                </c:pt>
                <c:pt idx="2">
                  <c:v>73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1-4DD5-8394-5724348D36AD}"/>
            </c:ext>
          </c:extLst>
        </c:ser>
        <c:ser>
          <c:idx val="1"/>
          <c:order val="1"/>
          <c:tx>
            <c:strRef>
              <c:f>'SEPT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rep'!$G$4:$G$7</c:f>
              <c:numCache>
                <c:formatCode>General</c:formatCode>
                <c:ptCount val="4"/>
                <c:pt idx="0">
                  <c:v>65</c:v>
                </c:pt>
                <c:pt idx="1">
                  <c:v>49</c:v>
                </c:pt>
                <c:pt idx="2">
                  <c:v>35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1-4DD5-8394-5724348D36AD}"/>
            </c:ext>
          </c:extLst>
        </c:ser>
        <c:ser>
          <c:idx val="2"/>
          <c:order val="2"/>
          <c:tx>
            <c:strRef>
              <c:f>'SEPT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rep'!$H$4:$H$7</c:f>
              <c:numCache>
                <c:formatCode>0</c:formatCode>
                <c:ptCount val="4"/>
                <c:pt idx="0">
                  <c:v>65</c:v>
                </c:pt>
                <c:pt idx="1">
                  <c:v>56</c:v>
                </c:pt>
                <c:pt idx="2">
                  <c:v>48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1-4DD5-8394-5724348D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rep'!$I$4:$I$7</c:f>
              <c:numCache>
                <c:formatCode>General</c:formatCode>
                <c:ptCount val="4"/>
                <c:pt idx="0">
                  <c:v>41321</c:v>
                </c:pt>
                <c:pt idx="1">
                  <c:v>40538</c:v>
                </c:pt>
                <c:pt idx="2">
                  <c:v>13291</c:v>
                </c:pt>
                <c:pt idx="3">
                  <c:v>53317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1-4083-A21A-9BE649AC2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'SEPT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E9-4AED-9295-09DE3E509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9-4AED-9295-09DE3E509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E9-4AED-9295-09DE3E509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E9-4AED-9295-09DE3E5093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'SEPT per sales rep'!$I$4:$I$7</c:f>
              <c:numCache>
                <c:formatCode>General</c:formatCode>
                <c:ptCount val="4"/>
                <c:pt idx="0">
                  <c:v>41321</c:v>
                </c:pt>
                <c:pt idx="1">
                  <c:v>40538</c:v>
                </c:pt>
                <c:pt idx="2">
                  <c:v>13291</c:v>
                </c:pt>
                <c:pt idx="3">
                  <c:v>53317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E9-4AED-9295-09DE3E50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'OCT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E9-4BBB-8B8D-1F28790FFA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9-4BBB-8B8D-1F28790FFA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9-4BBB-8B8D-1F28790FFA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9-4BBB-8B8D-1F28790FFA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rep'!$F$4:$F$7</c:f>
              <c:numCache>
                <c:formatCode>0.00</c:formatCode>
                <c:ptCount val="4"/>
                <c:pt idx="0">
                  <c:v>30.592105263157894</c:v>
                </c:pt>
                <c:pt idx="1">
                  <c:v>19.736842105263158</c:v>
                </c:pt>
                <c:pt idx="2">
                  <c:v>20.723684210526315</c:v>
                </c:pt>
                <c:pt idx="3">
                  <c:v>26.973684210526315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E9-4BBB-8B8D-1F28790FFA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'OCT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rep'!$E$4:$E$7</c:f>
              <c:numCache>
                <c:formatCode>General</c:formatCode>
                <c:ptCount val="4"/>
                <c:pt idx="0">
                  <c:v>93</c:v>
                </c:pt>
                <c:pt idx="1">
                  <c:v>60</c:v>
                </c:pt>
                <c:pt idx="2">
                  <c:v>63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2-478B-915F-63FA4F911FB6}"/>
            </c:ext>
          </c:extLst>
        </c:ser>
        <c:ser>
          <c:idx val="1"/>
          <c:order val="1"/>
          <c:tx>
            <c:strRef>
              <c:f>'OCT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rep'!$G$4:$G$7</c:f>
              <c:numCache>
                <c:formatCode>General</c:formatCode>
                <c:ptCount val="4"/>
                <c:pt idx="0">
                  <c:v>58</c:v>
                </c:pt>
                <c:pt idx="1">
                  <c:v>23</c:v>
                </c:pt>
                <c:pt idx="2">
                  <c:v>29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2-478B-915F-63FA4F911FB6}"/>
            </c:ext>
          </c:extLst>
        </c:ser>
        <c:ser>
          <c:idx val="2"/>
          <c:order val="2"/>
          <c:tx>
            <c:strRef>
              <c:f>'OCT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rep'!$H$4:$H$7</c:f>
              <c:numCache>
                <c:formatCode>0</c:formatCode>
                <c:ptCount val="4"/>
                <c:pt idx="0">
                  <c:v>62</c:v>
                </c:pt>
                <c:pt idx="1">
                  <c:v>38</c:v>
                </c:pt>
                <c:pt idx="2">
                  <c:v>46</c:v>
                </c:pt>
                <c:pt idx="3">
                  <c:v>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2-478B-915F-63FA4F91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rep'!$I$4:$I$7</c:f>
              <c:numCache>
                <c:formatCode>General</c:formatCode>
                <c:ptCount val="4"/>
                <c:pt idx="0">
                  <c:v>39865</c:v>
                </c:pt>
                <c:pt idx="1">
                  <c:v>21388</c:v>
                </c:pt>
                <c:pt idx="2">
                  <c:v>14655</c:v>
                </c:pt>
                <c:pt idx="3">
                  <c:v>106932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5-422F-90DC-D7B91C970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'OCT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EB-4DB7-B210-673EA64AA5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EB-4DB7-B210-673EA64AA5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EB-4DB7-B210-673EA64AA5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EB-4DB7-B210-673EA64AA5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'OCT per sales rep'!$I$4:$I$7</c:f>
              <c:numCache>
                <c:formatCode>General</c:formatCode>
                <c:ptCount val="4"/>
                <c:pt idx="0">
                  <c:v>39865</c:v>
                </c:pt>
                <c:pt idx="1">
                  <c:v>21388</c:v>
                </c:pt>
                <c:pt idx="2">
                  <c:v>14655</c:v>
                </c:pt>
                <c:pt idx="3">
                  <c:v>106932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EB-4DB7-B210-673EA64AA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'NOV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A-4C12-AAE8-458DAA2F76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A-4C12-AAE8-458DAA2F76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A-4C12-AAE8-458DAA2F76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A-4C12-AAE8-458DAA2F7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rep'!$F$4:$F$7</c:f>
              <c:numCache>
                <c:formatCode>0.00</c:formatCode>
                <c:ptCount val="4"/>
                <c:pt idx="0">
                  <c:v>36.713286713286713</c:v>
                </c:pt>
                <c:pt idx="1">
                  <c:v>17.482517482517483</c:v>
                </c:pt>
                <c:pt idx="2">
                  <c:v>22.02797202797203</c:v>
                </c:pt>
                <c:pt idx="3">
                  <c:v>18.181818181818183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0A-4C12-AAE8-458DAA2F76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'NOV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rep'!$E$4:$E$7</c:f>
              <c:numCache>
                <c:formatCode>General</c:formatCode>
                <c:ptCount val="4"/>
                <c:pt idx="0">
                  <c:v>105</c:v>
                </c:pt>
                <c:pt idx="1">
                  <c:v>50</c:v>
                </c:pt>
                <c:pt idx="2">
                  <c:v>63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C-46BF-8ACE-FBBDE079C5A3}"/>
            </c:ext>
          </c:extLst>
        </c:ser>
        <c:ser>
          <c:idx val="1"/>
          <c:order val="1"/>
          <c:tx>
            <c:strRef>
              <c:f>'NOV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rep'!$G$4:$G$7</c:f>
              <c:numCache>
                <c:formatCode>General</c:formatCode>
                <c:ptCount val="4"/>
                <c:pt idx="0">
                  <c:v>62</c:v>
                </c:pt>
                <c:pt idx="1">
                  <c:v>29</c:v>
                </c:pt>
                <c:pt idx="2">
                  <c:v>28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C-46BF-8ACE-FBBDE079C5A3}"/>
            </c:ext>
          </c:extLst>
        </c:ser>
        <c:ser>
          <c:idx val="2"/>
          <c:order val="2"/>
          <c:tx>
            <c:strRef>
              <c:f>'NOV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rep'!$H$4:$H$7</c:f>
              <c:numCache>
                <c:formatCode>0</c:formatCode>
                <c:ptCount val="4"/>
                <c:pt idx="0">
                  <c:v>59</c:v>
                </c:pt>
                <c:pt idx="1">
                  <c:v>58</c:v>
                </c:pt>
                <c:pt idx="2">
                  <c:v>44.4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C-46BF-8ACE-FBBDE079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rep'!$I$4:$I$7</c:f>
              <c:numCache>
                <c:formatCode>General</c:formatCode>
                <c:ptCount val="4"/>
                <c:pt idx="0">
                  <c:v>28948</c:v>
                </c:pt>
                <c:pt idx="1">
                  <c:v>31799</c:v>
                </c:pt>
                <c:pt idx="2">
                  <c:v>11824</c:v>
                </c:pt>
                <c:pt idx="3">
                  <c:v>64575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F-4238-824C-88654C89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'NOV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EC-4AAD-A6DD-3D57D27326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EC-4AAD-A6DD-3D57D27326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EC-4AAD-A6DD-3D57D27326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EC-4AAD-A6DD-3D57D27326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'NOV per sales rep'!$I$4:$I$7</c:f>
              <c:numCache>
                <c:formatCode>General</c:formatCode>
                <c:ptCount val="4"/>
                <c:pt idx="0">
                  <c:v>28948</c:v>
                </c:pt>
                <c:pt idx="1">
                  <c:v>31799</c:v>
                </c:pt>
                <c:pt idx="2">
                  <c:v>11824</c:v>
                </c:pt>
                <c:pt idx="3">
                  <c:v>64575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EC-4AAD-A6DD-3D57D2732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 per sales rep'!$F$3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5D-425F-8586-43DBB641D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5D-425F-8586-43DBB641D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5D-425F-8586-43DBB641D6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5D-425F-8586-43DBB641D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rep'!$F$4:$F$7</c:f>
              <c:numCache>
                <c:formatCode>0.00</c:formatCode>
                <c:ptCount val="4"/>
                <c:pt idx="0">
                  <c:v>28.571428571428569</c:v>
                </c:pt>
                <c:pt idx="1">
                  <c:v>20</c:v>
                </c:pt>
                <c:pt idx="2">
                  <c:v>23.571428571428569</c:v>
                </c:pt>
                <c:pt idx="3">
                  <c:v>17.857142857142858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5D-425F-8586-43DBB641D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 per sales rep'!$E$3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rep'!$E$4:$E$7</c:f>
              <c:numCache>
                <c:formatCode>General</c:formatCode>
                <c:ptCount val="4"/>
                <c:pt idx="0">
                  <c:v>40</c:v>
                </c:pt>
                <c:pt idx="1">
                  <c:v>28</c:v>
                </c:pt>
                <c:pt idx="2">
                  <c:v>33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2-4113-ACBA-2BD7904142DA}"/>
            </c:ext>
          </c:extLst>
        </c:ser>
        <c:ser>
          <c:idx val="1"/>
          <c:order val="1"/>
          <c:tx>
            <c:strRef>
              <c:f>'DEC per sales rep'!$G$3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rep'!$G$4:$G$7</c:f>
              <c:numCache>
                <c:formatCode>General</c:formatCode>
                <c:ptCount val="4"/>
                <c:pt idx="0">
                  <c:v>20</c:v>
                </c:pt>
                <c:pt idx="1">
                  <c:v>16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2-4113-ACBA-2BD7904142DA}"/>
            </c:ext>
          </c:extLst>
        </c:ser>
        <c:ser>
          <c:idx val="2"/>
          <c:order val="2"/>
          <c:tx>
            <c:strRef>
              <c:f>'DEC per sales rep'!$H$3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rep'!$H$4:$H$7</c:f>
              <c:numCache>
                <c:formatCode>0</c:formatCode>
                <c:ptCount val="4"/>
                <c:pt idx="0">
                  <c:v>50</c:v>
                </c:pt>
                <c:pt idx="1">
                  <c:v>57.1</c:v>
                </c:pt>
                <c:pt idx="2">
                  <c:v>36.4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2-4113-ACBA-2BD79041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rep'!$I$4:$I$7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5A2-4F4F-929C-FCD65894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 per sales rep'!$I$3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A-4A86-91C6-C53893FEA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A-4A86-91C6-C53893FEA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0A-4A86-91C6-C53893FEA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0A-4A86-91C6-C53893FEAD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 per sales rep'!$D$4:$D$7</c:f>
              <c:strCache>
                <c:ptCount val="4"/>
                <c:pt idx="0">
                  <c:v>HARDUS</c:v>
                </c:pt>
                <c:pt idx="1">
                  <c:v>BUX</c:v>
                </c:pt>
                <c:pt idx="2">
                  <c:v>BERNIE</c:v>
                </c:pt>
                <c:pt idx="3">
                  <c:v>JOHAN</c:v>
                </c:pt>
              </c:strCache>
            </c:strRef>
          </c:cat>
          <c:val>
            <c:numRef>
              <c:f>'DEC per sales rep'!$I$4:$I$7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FC0A-4A86-91C6-C53893FE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conversion</a:t>
            </a:r>
            <a:r>
              <a:rPr lang="en-ZA" baseline="0"/>
              <a:t> rate sales inbox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INBOX'!$D$3</c:f>
              <c:strCache>
                <c:ptCount val="1"/>
                <c:pt idx="0">
                  <c:v>conversion rate 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INBOX'!$D$4:$D$15</c:f>
              <c:numCache>
                <c:formatCode>0</c:formatCode>
                <c:ptCount val="12"/>
                <c:pt idx="0">
                  <c:v>42.857142857142854</c:v>
                </c:pt>
                <c:pt idx="1">
                  <c:v>52.873563218390807</c:v>
                </c:pt>
                <c:pt idx="2">
                  <c:v>49.514563106796118</c:v>
                </c:pt>
                <c:pt idx="3">
                  <c:v>57.333333333333336</c:v>
                </c:pt>
                <c:pt idx="4">
                  <c:v>56.98924731182796</c:v>
                </c:pt>
                <c:pt idx="5">
                  <c:v>52.12765957446809</c:v>
                </c:pt>
                <c:pt idx="6">
                  <c:v>49.019607843137251</c:v>
                </c:pt>
                <c:pt idx="7">
                  <c:v>40.594059405940598</c:v>
                </c:pt>
                <c:pt idx="8">
                  <c:v>43.571428571428569</c:v>
                </c:pt>
                <c:pt idx="9">
                  <c:v>50</c:v>
                </c:pt>
                <c:pt idx="10">
                  <c:v>52.577319587628871</c:v>
                </c:pt>
                <c:pt idx="11">
                  <c:v>48.275862068965516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3-4323-B442-237668DB2414}"/>
            </c:ext>
          </c:extLst>
        </c:ser>
        <c:ser>
          <c:idx val="1"/>
          <c:order val="1"/>
          <c:tx>
            <c:strRef>
              <c:f>'SALES INBOX'!$G$3</c:f>
              <c:strCache>
                <c:ptCount val="1"/>
                <c:pt idx="0">
                  <c:v>conversion rate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INBOX'!$G$4:$G$15</c:f>
              <c:numCache>
                <c:formatCode>0</c:formatCode>
                <c:ptCount val="12"/>
                <c:pt idx="0">
                  <c:v>39.130434782608695</c:v>
                </c:pt>
                <c:pt idx="1">
                  <c:v>37.362637362637365</c:v>
                </c:pt>
                <c:pt idx="2">
                  <c:v>38.793103448275865</c:v>
                </c:pt>
                <c:pt idx="3">
                  <c:v>34.065934065934066</c:v>
                </c:pt>
                <c:pt idx="4">
                  <c:v>26.548672566371685</c:v>
                </c:pt>
                <c:pt idx="5">
                  <c:v>28.39506172839506</c:v>
                </c:pt>
                <c:pt idx="6">
                  <c:v>38.095238095238095</c:v>
                </c:pt>
                <c:pt idx="7">
                  <c:v>41.509433962264154</c:v>
                </c:pt>
                <c:pt idx="8">
                  <c:v>37.735849056603776</c:v>
                </c:pt>
                <c:pt idx="9">
                  <c:v>52.72727272727272</c:v>
                </c:pt>
                <c:pt idx="10">
                  <c:v>40.506329113924053</c:v>
                </c:pt>
                <c:pt idx="11">
                  <c:v>7.4074074074074066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3-4323-B442-237668DB2414}"/>
            </c:ext>
          </c:extLst>
        </c:ser>
        <c:ser>
          <c:idx val="2"/>
          <c:order val="2"/>
          <c:tx>
            <c:strRef>
              <c:f>'SALES INBOX'!$J$3</c:f>
              <c:strCache>
                <c:ptCount val="1"/>
                <c:pt idx="0">
                  <c:v>conversion rate 24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INBOX'!$J$4:$J$15</c:f>
              <c:numCache>
                <c:formatCode>0</c:formatCode>
                <c:ptCount val="12"/>
                <c:pt idx="0">
                  <c:v>46.601941747572816</c:v>
                </c:pt>
                <c:pt idx="1">
                  <c:v>37.931034482758619</c:v>
                </c:pt>
                <c:pt idx="2">
                  <c:v>42.990654205607477</c:v>
                </c:pt>
                <c:pt idx="3">
                  <c:v>40.963855421686745</c:v>
                </c:pt>
                <c:pt idx="4">
                  <c:v>35.714285714285715</c:v>
                </c:pt>
                <c:pt idx="5">
                  <c:v>26.851851851851855</c:v>
                </c:pt>
                <c:pt idx="6">
                  <c:v>37</c:v>
                </c:pt>
                <c:pt idx="7">
                  <c:v>32.183908045977013</c:v>
                </c:pt>
                <c:pt idx="8">
                  <c:v>37.974683544303801</c:v>
                </c:pt>
                <c:pt idx="9">
                  <c:v>30.434782608695656</c:v>
                </c:pt>
                <c:pt idx="10">
                  <c:v>31.428571428571427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33-4323-B442-237668DB2414}"/>
            </c:ext>
          </c:extLst>
        </c:ser>
        <c:ser>
          <c:idx val="3"/>
          <c:order val="3"/>
          <c:tx>
            <c:strRef>
              <c:f>'SALES INBOX'!$M$3</c:f>
              <c:strCache>
                <c:ptCount val="1"/>
                <c:pt idx="0">
                  <c:v>conversion rate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INBOX'!$M$4:$M$15</c:f>
              <c:numCache>
                <c:formatCode>General</c:formatCode>
                <c:ptCount val="12"/>
                <c:pt idx="0">
                  <c:v>37.799999999999997</c:v>
                </c:pt>
                <c:pt idx="1">
                  <c:v>42.5</c:v>
                </c:pt>
                <c:pt idx="2">
                  <c:v>26.6</c:v>
                </c:pt>
                <c:pt idx="3">
                  <c:v>42</c:v>
                </c:pt>
                <c:pt idx="4">
                  <c:v>36.799999999999997</c:v>
                </c:pt>
                <c:pt idx="5">
                  <c:v>49</c:v>
                </c:pt>
                <c:pt idx="6">
                  <c:v>34.299999999999997</c:v>
                </c:pt>
                <c:pt idx="7">
                  <c:v>51.9</c:v>
                </c:pt>
                <c:pt idx="8">
                  <c:v>44.9</c:v>
                </c:pt>
                <c:pt idx="9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6A7-9CB1-830F630D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33408"/>
        <c:axId val="147437728"/>
      </c:barChart>
      <c:catAx>
        <c:axId val="1474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7728"/>
        <c:crosses val="autoZero"/>
        <c:auto val="1"/>
        <c:lblAlgn val="ctr"/>
        <c:lblOffset val="100"/>
        <c:noMultiLvlLbl val="0"/>
      </c:catAx>
      <c:valAx>
        <c:axId val="1474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Enquiries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INBOX'!$B$3</c:f>
              <c:strCache>
                <c:ptCount val="1"/>
                <c:pt idx="0">
                  <c:v>ENQUIRIES 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INBOX'!$B$4:$B$15</c:f>
              <c:numCache>
                <c:formatCode>General</c:formatCode>
                <c:ptCount val="12"/>
                <c:pt idx="0">
                  <c:v>84</c:v>
                </c:pt>
                <c:pt idx="1">
                  <c:v>87</c:v>
                </c:pt>
                <c:pt idx="2">
                  <c:v>103</c:v>
                </c:pt>
                <c:pt idx="3">
                  <c:v>75</c:v>
                </c:pt>
                <c:pt idx="4">
                  <c:v>93</c:v>
                </c:pt>
                <c:pt idx="5">
                  <c:v>94</c:v>
                </c:pt>
                <c:pt idx="6">
                  <c:v>102</c:v>
                </c:pt>
                <c:pt idx="7">
                  <c:v>101</c:v>
                </c:pt>
                <c:pt idx="8">
                  <c:v>140</c:v>
                </c:pt>
                <c:pt idx="9">
                  <c:v>110</c:v>
                </c:pt>
                <c:pt idx="10">
                  <c:v>97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8-4400-A6A6-6356C4D8E3AC}"/>
            </c:ext>
          </c:extLst>
        </c:ser>
        <c:ser>
          <c:idx val="1"/>
          <c:order val="1"/>
          <c:tx>
            <c:strRef>
              <c:f>'SALES INBOX'!$E$3</c:f>
              <c:strCache>
                <c:ptCount val="1"/>
                <c:pt idx="0">
                  <c:v>ENQUIRIES 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INBOX'!$E$4:$E$15</c:f>
              <c:numCache>
                <c:formatCode>General</c:formatCode>
                <c:ptCount val="12"/>
                <c:pt idx="0">
                  <c:v>69</c:v>
                </c:pt>
                <c:pt idx="1">
                  <c:v>91</c:v>
                </c:pt>
                <c:pt idx="2">
                  <c:v>116</c:v>
                </c:pt>
                <c:pt idx="3">
                  <c:v>91</c:v>
                </c:pt>
                <c:pt idx="4">
                  <c:v>113</c:v>
                </c:pt>
                <c:pt idx="5">
                  <c:v>81</c:v>
                </c:pt>
                <c:pt idx="6">
                  <c:v>105</c:v>
                </c:pt>
                <c:pt idx="7">
                  <c:v>106</c:v>
                </c:pt>
                <c:pt idx="8">
                  <c:v>106</c:v>
                </c:pt>
                <c:pt idx="9">
                  <c:v>110</c:v>
                </c:pt>
                <c:pt idx="10">
                  <c:v>79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8-4400-A6A6-6356C4D8E3AC}"/>
            </c:ext>
          </c:extLst>
        </c:ser>
        <c:ser>
          <c:idx val="2"/>
          <c:order val="2"/>
          <c:tx>
            <c:strRef>
              <c:f>'SALES INBOX'!$H$3</c:f>
              <c:strCache>
                <c:ptCount val="1"/>
                <c:pt idx="0">
                  <c:v>ENQUIRIES 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INBOX'!$H$4:$H$15</c:f>
              <c:numCache>
                <c:formatCode>General</c:formatCode>
                <c:ptCount val="12"/>
                <c:pt idx="0">
                  <c:v>103</c:v>
                </c:pt>
                <c:pt idx="1">
                  <c:v>116</c:v>
                </c:pt>
                <c:pt idx="2">
                  <c:v>107</c:v>
                </c:pt>
                <c:pt idx="3">
                  <c:v>83</c:v>
                </c:pt>
                <c:pt idx="4">
                  <c:v>98</c:v>
                </c:pt>
                <c:pt idx="5">
                  <c:v>108</c:v>
                </c:pt>
                <c:pt idx="6">
                  <c:v>100</c:v>
                </c:pt>
                <c:pt idx="7">
                  <c:v>87</c:v>
                </c:pt>
                <c:pt idx="8">
                  <c:v>79</c:v>
                </c:pt>
                <c:pt idx="9">
                  <c:v>69</c:v>
                </c:pt>
                <c:pt idx="10">
                  <c:v>70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8-4400-A6A6-6356C4D8E3AC}"/>
            </c:ext>
          </c:extLst>
        </c:ser>
        <c:ser>
          <c:idx val="3"/>
          <c:order val="3"/>
          <c:tx>
            <c:strRef>
              <c:f>'SALES INBOX'!$K$3</c:f>
              <c:strCache>
                <c:ptCount val="1"/>
                <c:pt idx="0">
                  <c:v>ENQUIRIES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INBOX'!$A$4:$A$15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INBOX'!$K$4:$K$15</c:f>
              <c:numCache>
                <c:formatCode>General</c:formatCode>
                <c:ptCount val="12"/>
                <c:pt idx="0">
                  <c:v>74</c:v>
                </c:pt>
                <c:pt idx="1">
                  <c:v>80</c:v>
                </c:pt>
                <c:pt idx="2">
                  <c:v>79</c:v>
                </c:pt>
                <c:pt idx="3">
                  <c:v>81</c:v>
                </c:pt>
                <c:pt idx="4">
                  <c:v>87</c:v>
                </c:pt>
                <c:pt idx="5">
                  <c:v>49</c:v>
                </c:pt>
                <c:pt idx="6">
                  <c:v>67</c:v>
                </c:pt>
                <c:pt idx="7">
                  <c:v>79</c:v>
                </c:pt>
                <c:pt idx="8">
                  <c:v>78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7-49E3-8505-3E3E30EB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396448"/>
        <c:axId val="329383968"/>
      </c:barChart>
      <c:catAx>
        <c:axId val="32939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83968"/>
        <c:crosses val="autoZero"/>
        <c:auto val="1"/>
        <c:lblAlgn val="ctr"/>
        <c:lblOffset val="100"/>
        <c:noMultiLvlLbl val="0"/>
      </c:catAx>
      <c:valAx>
        <c:axId val="3293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YEAR!$F$3</c:f>
              <c:strCache>
                <c:ptCount val="1"/>
                <c:pt idx="0">
                  <c:v>AVERAGE ENQUIRIES PER TOTAL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56-4AA4-B7E8-99422E21FA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6-4AA4-B7E8-99422E21FA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56-4AA4-B7E8-99422E21FA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56-4AA4-B7E8-99422E21FA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YEAR!$D$4:$D$7</c:f>
              <c:strCache>
                <c:ptCount val="4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</c:strCache>
            </c:strRef>
          </c:cat>
          <c:val>
            <c:numRef>
              <c:f>YEAR!$F$4:$F$7</c:f>
              <c:numCache>
                <c:formatCode>0.00</c:formatCode>
                <c:ptCount val="4"/>
                <c:pt idx="0">
                  <c:v>21.493388644023852</c:v>
                </c:pt>
                <c:pt idx="1">
                  <c:v>19.937775473165672</c:v>
                </c:pt>
                <c:pt idx="2">
                  <c:v>29.064039408866993</c:v>
                </c:pt>
                <c:pt idx="3">
                  <c:v>20.741508944775731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56-4AA4-B7E8-99422E21FA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YEAR!$E$3</c:f>
              <c:strCache>
                <c:ptCount val="1"/>
                <c:pt idx="0">
                  <c:v>ENQUIRIES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YEAR!$D$4:$D$7</c:f>
              <c:strCache>
                <c:ptCount val="4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</c:strCache>
            </c:strRef>
          </c:cat>
          <c:val>
            <c:numRef>
              <c:f>YEAR!$E$4:$E$7</c:f>
              <c:numCache>
                <c:formatCode>General</c:formatCode>
                <c:ptCount val="4"/>
                <c:pt idx="0">
                  <c:v>829</c:v>
                </c:pt>
                <c:pt idx="1">
                  <c:v>769</c:v>
                </c:pt>
                <c:pt idx="2">
                  <c:v>1121</c:v>
                </c:pt>
                <c:pt idx="3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7-417F-9B6E-7FF3C4A9CD89}"/>
            </c:ext>
          </c:extLst>
        </c:ser>
        <c:ser>
          <c:idx val="1"/>
          <c:order val="1"/>
          <c:tx>
            <c:strRef>
              <c:f>YEAR!$G$3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YEAR!$D$4:$D$7</c:f>
              <c:strCache>
                <c:ptCount val="4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</c:strCache>
            </c:strRef>
          </c:cat>
          <c:val>
            <c:numRef>
              <c:f>YEAR!$G$4:$G$7</c:f>
              <c:numCache>
                <c:formatCode>General</c:formatCode>
                <c:ptCount val="4"/>
                <c:pt idx="0">
                  <c:v>547</c:v>
                </c:pt>
                <c:pt idx="1">
                  <c:v>419</c:v>
                </c:pt>
                <c:pt idx="2">
                  <c:v>679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7-417F-9B6E-7FF3C4A9CD89}"/>
            </c:ext>
          </c:extLst>
        </c:ser>
        <c:ser>
          <c:idx val="2"/>
          <c:order val="2"/>
          <c:tx>
            <c:strRef>
              <c:f>YEAR!$H$3</c:f>
              <c:strCache>
                <c:ptCount val="1"/>
                <c:pt idx="0">
                  <c:v>CONVERSION RATE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YEAR!$D$4:$D$7</c:f>
              <c:strCache>
                <c:ptCount val="4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</c:strCache>
            </c:strRef>
          </c:cat>
          <c:val>
            <c:numRef>
              <c:f>YEAR!$H$4:$H$7</c:f>
              <c:numCache>
                <c:formatCode>0</c:formatCode>
                <c:ptCount val="4"/>
                <c:pt idx="0">
                  <c:v>55.1</c:v>
                </c:pt>
                <c:pt idx="1">
                  <c:v>54.5</c:v>
                </c:pt>
                <c:pt idx="2">
                  <c:v>60.6</c:v>
                </c:pt>
                <c:pt idx="3">
                  <c:v>74.099999999999994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7-417F-9B6E-7FF3C4A9C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8911"/>
        <c:axId val="1024031759"/>
      </c:barChart>
      <c:catAx>
        <c:axId val="12550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31759"/>
        <c:crosses val="autoZero"/>
        <c:auto val="1"/>
        <c:lblAlgn val="ctr"/>
        <c:lblOffset val="100"/>
        <c:noMultiLvlLbl val="0"/>
      </c:catAx>
      <c:valAx>
        <c:axId val="10240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YEAR!$D$4:$D$9</c:f>
              <c:strCache>
                <c:ptCount val="5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  <c:pt idx="4">
                  <c:v>SALES INBOX</c:v>
                </c:pt>
              </c:strCache>
            </c:strRef>
          </c:cat>
          <c:val>
            <c:numRef>
              <c:f>YEAR!$I$4:$I$9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DD8-487E-ACC5-B4ADF2E2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925455"/>
        <c:axId val="1082927375"/>
      </c:barChart>
      <c:catAx>
        <c:axId val="10829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7375"/>
        <c:crosses val="autoZero"/>
        <c:auto val="1"/>
        <c:lblAlgn val="ctr"/>
        <c:lblOffset val="100"/>
        <c:noMultiLvlLbl val="0"/>
      </c:catAx>
      <c:valAx>
        <c:axId val="10829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YEAR!$I$3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0-4253-BA2A-E4FBEACE20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0-4253-BA2A-E4FBEACE20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30-4253-BA2A-E4FBEACE20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30-4253-BA2A-E4FBEACE20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38-45F7-AEC3-A5EABE8E9B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38-45F7-AEC3-A5EABE8E9B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YEAR!$D$4:$D$9</c:f>
              <c:strCache>
                <c:ptCount val="5"/>
                <c:pt idx="0">
                  <c:v>BERNIE</c:v>
                </c:pt>
                <c:pt idx="1">
                  <c:v>BUX</c:v>
                </c:pt>
                <c:pt idx="2">
                  <c:v>HARDUS</c:v>
                </c:pt>
                <c:pt idx="3">
                  <c:v>JOHAN</c:v>
                </c:pt>
                <c:pt idx="4">
                  <c:v>SALES INBOX</c:v>
                </c:pt>
              </c:strCache>
            </c:strRef>
          </c:cat>
          <c:val>
            <c:numRef>
              <c:f>YEAR!$I$4:$I$9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6030-4253-BA2A-E4FBEACE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4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17</xdr:row>
      <xdr:rowOff>142874</xdr:rowOff>
    </xdr:from>
    <xdr:to>
      <xdr:col>13</xdr:col>
      <xdr:colOff>685800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5B0F9-CD9C-C7AB-BC5C-3E6BDE50E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571499</xdr:colOff>
      <xdr:row>44</xdr:row>
      <xdr:rowOff>85725</xdr:rowOff>
    </xdr:from>
    <xdr:to>
      <xdr:col>9</xdr:col>
      <xdr:colOff>523874</xdr:colOff>
      <xdr:row>62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08E9C-A68B-F1AA-85BC-257B44BF1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647699</xdr:colOff>
      <xdr:row>44</xdr:row>
      <xdr:rowOff>33337</xdr:rowOff>
    </xdr:from>
    <xdr:to>
      <xdr:col>16</xdr:col>
      <xdr:colOff>47624</xdr:colOff>
      <xdr:row>62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BB2A68-B1A2-8081-6BA9-5F2B7633A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21</xdr:row>
      <xdr:rowOff>52387</xdr:rowOff>
    </xdr:from>
    <xdr:to>
      <xdr:col>15</xdr:col>
      <xdr:colOff>333374</xdr:colOff>
      <xdr:row>42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C9A2D-389B-8E27-22C7-82A365F4C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483870</xdr:colOff>
      <xdr:row>20</xdr:row>
      <xdr:rowOff>69532</xdr:rowOff>
    </xdr:from>
    <xdr:to>
      <xdr:col>20</xdr:col>
      <xdr:colOff>3810</xdr:colOff>
      <xdr:row>46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81C44-39FE-6A88-6B9E-13BBC6725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2</xdr:col>
      <xdr:colOff>1415415</xdr:colOff>
      <xdr:row>30</xdr:row>
      <xdr:rowOff>72390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9701CE-0806-7AA0-50B8-C19C5E79C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72505B-FC07-4455-4B40-30F78BF3B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16</xdr:row>
      <xdr:rowOff>23812</xdr:rowOff>
    </xdr:from>
    <xdr:to>
      <xdr:col>8</xdr:col>
      <xdr:colOff>790575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47D00-F6B9-16A0-9533-CBF49C868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971550</xdr:colOff>
      <xdr:row>16</xdr:row>
      <xdr:rowOff>14286</xdr:rowOff>
    </xdr:from>
    <xdr:to>
      <xdr:col>13</xdr:col>
      <xdr:colOff>352425</xdr:colOff>
      <xdr:row>30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6E328-8804-6209-A92B-B98D92BB5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E8E1B-FFAB-4250-B561-28766A49A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161924</xdr:colOff>
      <xdr:row>16</xdr:row>
      <xdr:rowOff>14286</xdr:rowOff>
    </xdr:from>
    <xdr:to>
      <xdr:col>8</xdr:col>
      <xdr:colOff>1038224</xdr:colOff>
      <xdr:row>30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B107A8-E997-4C5D-886F-144D505BE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90487</xdr:rowOff>
    </xdr:from>
    <xdr:to>
      <xdr:col>2</xdr:col>
      <xdr:colOff>1343025</xdr:colOff>
      <xdr:row>30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99D6A0-7AC6-580E-3943-5CA6BF5AA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15</xdr:row>
      <xdr:rowOff>185737</xdr:rowOff>
    </xdr:from>
    <xdr:to>
      <xdr:col>14</xdr:col>
      <xdr:colOff>0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12434-0551-BEF4-2092-63735DE3E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E88A1-E1E5-4C34-BA56-A0453961C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16908-FB73-438B-85E3-A0266501C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485775</xdr:colOff>
      <xdr:row>15</xdr:row>
      <xdr:rowOff>80962</xdr:rowOff>
    </xdr:from>
    <xdr:to>
      <xdr:col>9</xdr:col>
      <xdr:colOff>209550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413F19-8E8D-B1D8-D822-9A718858D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333374</xdr:colOff>
      <xdr:row>15</xdr:row>
      <xdr:rowOff>90486</xdr:rowOff>
    </xdr:from>
    <xdr:to>
      <xdr:col>15</xdr:col>
      <xdr:colOff>28574</xdr:colOff>
      <xdr:row>32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7379F-F7A9-8317-38BD-0EBD57B63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61FD2-03E0-43FC-B5E4-DAC82A1D1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461F9-17A7-4C05-86C6-2D2F2CBB1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390524</xdr:colOff>
      <xdr:row>16</xdr:row>
      <xdr:rowOff>4762</xdr:rowOff>
    </xdr:from>
    <xdr:to>
      <xdr:col>9</xdr:col>
      <xdr:colOff>561974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6D06F2-83B7-072E-AAF4-AD07B5E56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723900</xdr:colOff>
      <xdr:row>15</xdr:row>
      <xdr:rowOff>166687</xdr:rowOff>
    </xdr:from>
    <xdr:to>
      <xdr:col>15</xdr:col>
      <xdr:colOff>85725</xdr:colOff>
      <xdr:row>32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B191F3-6B43-4C52-8A66-FFE59DCCC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2780B-2242-41E3-9768-FA22D6176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F5E504-44AF-4468-BBFA-21F5866C4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206FA9-3C38-9233-BEB4-BCBE47091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981075</xdr:colOff>
      <xdr:row>15</xdr:row>
      <xdr:rowOff>176211</xdr:rowOff>
    </xdr:from>
    <xdr:to>
      <xdr:col>13</xdr:col>
      <xdr:colOff>457200</xdr:colOff>
      <xdr:row>32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2867A1-4979-B9D9-CA95-6E9D97ADA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D03C0-D78B-4D94-BBEB-DAA6C4A6B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CC335-892B-4C8C-A3FF-F7C350714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48C67-799E-4A9E-AA40-8127CEC82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F1EA4-24B5-BEAD-0BD5-60EF37B05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26329-075A-4D51-9797-5FFEE2556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19459-15E4-42B4-B11F-6194CCB1B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FCEF56-64D0-4882-ACFF-C7C6353CA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FC9F82-1EA8-45BE-871A-9A965A4D1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73B4F-1548-46CA-AE37-DB9071A65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34C273-2EFD-4EE3-A6E2-AC3B8AC41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3BA374-42B4-48B0-8118-196CEC4F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0AD6A4-89AD-4FC2-BA9E-8CEA3982E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B0F48-F8D3-4273-9D94-DC7DA5505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AFAE9-8AA8-4032-BEEF-780FD20BD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96A241-22A1-4AD2-BAD3-687C3B499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EDE6E5-D0FF-4FF1-AAAB-C6519C18D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7CF7D-66C0-48E2-AD53-74689CFEE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E587DB-979F-4881-AA38-862D05A5E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061AF2-D262-4466-B3D8-86D70C54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6FA58-FAE5-464D-973D-DFA6CC1B1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20F94-C5F5-4A83-AEF4-624DA80A2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58DA3D-A2CD-4FCA-9598-022DBC22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8CFC84-FB76-4B1D-9EF3-352621743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A19D2A-4BF9-4AAB-8424-AC3E6390D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CE9EE-5FF7-4F39-891B-29A7A5AFD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0AA6E4-DAF8-4E2C-99C3-4F71E3816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39271-3D61-4AB2-A3F0-5FB074BE6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775AE8-9C3D-4CC7-AB3A-E82E44A0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752475</xdr:colOff>
      <xdr:row>18</xdr:row>
      <xdr:rowOff>100011</xdr:rowOff>
    </xdr:from>
    <xdr:to>
      <xdr:col>13</xdr:col>
      <xdr:colOff>342900</xdr:colOff>
      <xdr:row>38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CD177-D4E4-8336-58E7-35213A987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18</xdr:row>
      <xdr:rowOff>90487</xdr:rowOff>
    </xdr:from>
    <xdr:to>
      <xdr:col>5</xdr:col>
      <xdr:colOff>333375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AEAB2-D2F0-3C20-1D9E-D84FB2D06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</xdr:colOff>
      <xdr:row>15</xdr:row>
      <xdr:rowOff>186690</xdr:rowOff>
    </xdr:from>
    <xdr:to>
      <xdr:col>3</xdr:col>
      <xdr:colOff>142875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0ECFA-3552-44C0-A899-0BAB9348F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110490</xdr:rowOff>
    </xdr:from>
    <xdr:to>
      <xdr:col>2</xdr:col>
      <xdr:colOff>1341120</xdr:colOff>
      <xdr:row>13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04757-0B14-401F-BC37-317D08342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16</xdr:row>
      <xdr:rowOff>4761</xdr:rowOff>
    </xdr:from>
    <xdr:to>
      <xdr:col>8</xdr:col>
      <xdr:colOff>800100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B4176-908F-4E50-BC34-E1CD123C8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</xdr:colOff>
      <xdr:row>16</xdr:row>
      <xdr:rowOff>80962</xdr:rowOff>
    </xdr:from>
    <xdr:to>
      <xdr:col>13</xdr:col>
      <xdr:colOff>133350</xdr:colOff>
      <xdr:row>30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3B4D98-27A8-4608-80E2-A25955BAB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6601-501C-4D6A-8522-4D22575FA695}">
  <dimension ref="A1:O58"/>
  <sheetViews>
    <sheetView topLeftCell="A28" workbookViewId="0">
      <selection activeCell="I13" sqref="I13"/>
    </sheetView>
  </sheetViews>
  <sheetFormatPr defaultRowHeight="15" x14ac:dyDescent="0.25"/>
  <cols>
    <col min="1" max="1" width="12.85546875" customWidth="1"/>
    <col min="2" max="2" width="21.42578125" customWidth="1"/>
    <col min="3" max="5" width="20.7109375" customWidth="1"/>
    <col min="6" max="6" width="19.42578125" customWidth="1"/>
    <col min="7" max="10" width="22.42578125" customWidth="1"/>
    <col min="11" max="11" width="30.28515625" customWidth="1"/>
    <col min="12" max="12" width="12" bestFit="1" customWidth="1"/>
    <col min="13" max="13" width="18.28515625" customWidth="1"/>
    <col min="14" max="14" width="20.5703125" customWidth="1"/>
    <col min="15" max="15" width="15" customWidth="1"/>
  </cols>
  <sheetData>
    <row r="1" spans="1:15" x14ac:dyDescent="0.25">
      <c r="A1" s="3" t="s">
        <v>0</v>
      </c>
    </row>
    <row r="3" spans="1:15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/>
      <c r="K3" s="1"/>
      <c r="L3" s="1"/>
      <c r="M3" s="1"/>
      <c r="N3" s="1"/>
      <c r="O3" s="1"/>
    </row>
    <row r="4" spans="1:15" x14ac:dyDescent="0.25">
      <c r="A4" s="1" t="s">
        <v>9</v>
      </c>
      <c r="B4">
        <v>184</v>
      </c>
      <c r="C4">
        <v>248</v>
      </c>
      <c r="D4">
        <v>341</v>
      </c>
      <c r="E4">
        <v>290</v>
      </c>
      <c r="F4">
        <v>109</v>
      </c>
      <c r="G4">
        <v>154</v>
      </c>
      <c r="H4">
        <v>198</v>
      </c>
      <c r="I4">
        <v>161</v>
      </c>
      <c r="K4" s="2"/>
      <c r="M4" s="1"/>
    </row>
    <row r="5" spans="1:15" x14ac:dyDescent="0.25">
      <c r="A5" s="1" t="s">
        <v>10</v>
      </c>
      <c r="B5">
        <v>186</v>
      </c>
      <c r="C5">
        <v>261</v>
      </c>
      <c r="D5">
        <v>398</v>
      </c>
      <c r="E5">
        <v>252</v>
      </c>
      <c r="F5">
        <v>126</v>
      </c>
      <c r="G5">
        <v>162</v>
      </c>
      <c r="H5">
        <v>232</v>
      </c>
      <c r="I5">
        <v>144</v>
      </c>
      <c r="K5" s="2" t="s">
        <v>11</v>
      </c>
      <c r="L5" s="5">
        <f>SUM(B4:B15)/12</f>
        <v>224.91666666666666</v>
      </c>
      <c r="M5" s="1"/>
    </row>
    <row r="6" spans="1:15" x14ac:dyDescent="0.25">
      <c r="A6" s="1" t="s">
        <v>12</v>
      </c>
      <c r="B6">
        <v>230</v>
      </c>
      <c r="C6">
        <v>362</v>
      </c>
      <c r="D6">
        <v>354</v>
      </c>
      <c r="E6">
        <v>277</v>
      </c>
      <c r="F6">
        <v>149</v>
      </c>
      <c r="G6">
        <v>218</v>
      </c>
      <c r="H6">
        <v>229</v>
      </c>
      <c r="I6">
        <v>157</v>
      </c>
      <c r="K6" s="2" t="s">
        <v>13</v>
      </c>
      <c r="L6" s="5">
        <f>SUM(C4:C15)/12</f>
        <v>288.91666666666669</v>
      </c>
      <c r="M6" s="1"/>
    </row>
    <row r="7" spans="1:15" x14ac:dyDescent="0.25">
      <c r="A7" s="1" t="s">
        <v>14</v>
      </c>
      <c r="B7">
        <v>172</v>
      </c>
      <c r="C7">
        <v>270</v>
      </c>
      <c r="D7">
        <v>343</v>
      </c>
      <c r="E7">
        <v>273</v>
      </c>
      <c r="F7">
        <v>119</v>
      </c>
      <c r="G7">
        <v>168</v>
      </c>
      <c r="H7">
        <v>218</v>
      </c>
      <c r="I7">
        <v>169</v>
      </c>
      <c r="K7" s="2" t="s">
        <v>15</v>
      </c>
      <c r="L7" s="5">
        <f>(D4+D5)/2</f>
        <v>369.5</v>
      </c>
      <c r="M7" s="1"/>
    </row>
    <row r="8" spans="1:15" x14ac:dyDescent="0.25">
      <c r="A8" s="1" t="s">
        <v>16</v>
      </c>
      <c r="B8">
        <v>230</v>
      </c>
      <c r="C8">
        <v>281</v>
      </c>
      <c r="D8">
        <v>396</v>
      </c>
      <c r="E8">
        <v>303</v>
      </c>
      <c r="F8">
        <v>149</v>
      </c>
      <c r="G8">
        <v>143</v>
      </c>
      <c r="H8">
        <v>239</v>
      </c>
      <c r="I8">
        <v>185</v>
      </c>
      <c r="K8" t="s">
        <v>17</v>
      </c>
      <c r="L8" s="5">
        <f>SUM(F4:F15)/12</f>
        <v>143</v>
      </c>
      <c r="M8" s="1"/>
    </row>
    <row r="9" spans="1:15" x14ac:dyDescent="0.25">
      <c r="A9" s="1" t="s">
        <v>18</v>
      </c>
      <c r="B9">
        <v>205</v>
      </c>
      <c r="C9">
        <v>258</v>
      </c>
      <c r="D9">
        <v>336</v>
      </c>
      <c r="E9">
        <v>268</v>
      </c>
      <c r="F9">
        <v>131</v>
      </c>
      <c r="G9">
        <v>154</v>
      </c>
      <c r="H9">
        <v>189</v>
      </c>
      <c r="I9">
        <v>159</v>
      </c>
      <c r="K9" s="2" t="s">
        <v>19</v>
      </c>
      <c r="L9" s="5">
        <f>SUM(G4:G15)/12</f>
        <v>172.58333333333334</v>
      </c>
      <c r="M9" s="1"/>
    </row>
    <row r="10" spans="1:15" x14ac:dyDescent="0.25">
      <c r="A10" s="1" t="s">
        <v>20</v>
      </c>
      <c r="B10">
        <v>218</v>
      </c>
      <c r="C10">
        <v>295</v>
      </c>
      <c r="D10">
        <v>333</v>
      </c>
      <c r="E10">
        <v>297</v>
      </c>
      <c r="F10">
        <v>129</v>
      </c>
      <c r="G10">
        <v>171</v>
      </c>
      <c r="H10">
        <v>196</v>
      </c>
      <c r="I10">
        <v>164</v>
      </c>
      <c r="K10" s="2" t="s">
        <v>21</v>
      </c>
      <c r="L10" s="5">
        <f>SUM(H4:H15)/12</f>
        <v>190.33333333333334</v>
      </c>
      <c r="M10" s="1"/>
    </row>
    <row r="11" spans="1:15" x14ac:dyDescent="0.25">
      <c r="A11" s="1" t="s">
        <v>22</v>
      </c>
      <c r="B11">
        <v>269</v>
      </c>
      <c r="C11">
        <v>319</v>
      </c>
      <c r="D11">
        <v>278</v>
      </c>
      <c r="E11">
        <v>294</v>
      </c>
      <c r="F11">
        <v>158</v>
      </c>
      <c r="G11">
        <v>175</v>
      </c>
      <c r="H11">
        <v>162</v>
      </c>
      <c r="I11">
        <v>194</v>
      </c>
      <c r="M11" s="1"/>
    </row>
    <row r="12" spans="1:15" x14ac:dyDescent="0.25">
      <c r="A12" s="1" t="s">
        <v>23</v>
      </c>
      <c r="B12">
        <v>329</v>
      </c>
      <c r="C12">
        <v>355</v>
      </c>
      <c r="D12">
        <v>350</v>
      </c>
      <c r="E12">
        <v>255</v>
      </c>
      <c r="F12">
        <v>186</v>
      </c>
      <c r="G12">
        <v>204</v>
      </c>
      <c r="H12">
        <v>215</v>
      </c>
      <c r="I12">
        <v>151</v>
      </c>
      <c r="L12" s="1"/>
      <c r="M12" s="1"/>
    </row>
    <row r="13" spans="1:15" x14ac:dyDescent="0.25">
      <c r="A13" s="1" t="s">
        <v>24</v>
      </c>
      <c r="B13">
        <v>286</v>
      </c>
      <c r="C13">
        <v>361</v>
      </c>
      <c r="D13">
        <v>303</v>
      </c>
      <c r="E13">
        <v>323</v>
      </c>
      <c r="F13">
        <v>199</v>
      </c>
      <c r="G13">
        <v>248</v>
      </c>
      <c r="H13">
        <v>173</v>
      </c>
      <c r="I13">
        <v>190</v>
      </c>
    </row>
    <row r="14" spans="1:15" x14ac:dyDescent="0.25">
      <c r="A14" s="1" t="s">
        <v>25</v>
      </c>
      <c r="B14">
        <v>239</v>
      </c>
      <c r="C14">
        <v>330</v>
      </c>
      <c r="D14">
        <v>286</v>
      </c>
      <c r="F14">
        <v>170</v>
      </c>
      <c r="G14">
        <v>211</v>
      </c>
      <c r="H14">
        <v>167</v>
      </c>
    </row>
    <row r="15" spans="1:15" x14ac:dyDescent="0.25">
      <c r="A15" s="1" t="s">
        <v>26</v>
      </c>
      <c r="B15">
        <v>151</v>
      </c>
      <c r="C15">
        <v>127</v>
      </c>
      <c r="D15">
        <v>140</v>
      </c>
      <c r="F15">
        <v>91</v>
      </c>
      <c r="G15">
        <v>63</v>
      </c>
      <c r="H15">
        <v>66</v>
      </c>
    </row>
    <row r="16" spans="1:15" x14ac:dyDescent="0.25">
      <c r="A16" s="18" t="s">
        <v>27</v>
      </c>
      <c r="B16" s="18">
        <f>SUM(B4:B15)</f>
        <v>2699</v>
      </c>
      <c r="C16" s="18">
        <f>SUM(C4:C15)</f>
        <v>3467</v>
      </c>
      <c r="D16" s="18">
        <f t="shared" ref="D16:G16" si="0">SUM(D4:D15)</f>
        <v>3858</v>
      </c>
      <c r="E16" s="18"/>
      <c r="F16" s="18">
        <f t="shared" si="0"/>
        <v>1716</v>
      </c>
      <c r="G16" s="18">
        <f t="shared" si="0"/>
        <v>2071</v>
      </c>
      <c r="H16" s="18">
        <f>SUM(H4:H15)</f>
        <v>2284</v>
      </c>
      <c r="I16" s="18"/>
    </row>
    <row r="46" spans="2:10" x14ac:dyDescent="0.25">
      <c r="C46" s="1"/>
      <c r="D46" s="1"/>
      <c r="E46" s="1"/>
      <c r="F46" s="1"/>
      <c r="G46" s="1"/>
      <c r="H46" s="1"/>
      <c r="I46" s="1"/>
      <c r="J46" s="1"/>
    </row>
    <row r="47" spans="2:10" x14ac:dyDescent="0.25">
      <c r="B47" s="1"/>
    </row>
    <row r="48" spans="2:10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FCF3-D00B-44BF-B020-D6495B031D4E}">
  <dimension ref="B2:H15"/>
  <sheetViews>
    <sheetView workbookViewId="0">
      <selection activeCell="F12" sqref="F12"/>
    </sheetView>
  </sheetViews>
  <sheetFormatPr defaultRowHeight="15" x14ac:dyDescent="0.25"/>
  <cols>
    <col min="2" max="2" width="13.5703125" customWidth="1"/>
    <col min="3" max="3" width="21.85546875" customWidth="1"/>
    <col min="4" max="4" width="23.85546875" customWidth="1"/>
    <col min="5" max="5" width="30.28515625" customWidth="1"/>
    <col min="6" max="6" width="27.7109375" customWidth="1"/>
    <col min="7" max="7" width="16.140625" customWidth="1"/>
    <col min="8" max="8" width="12" bestFit="1" customWidth="1"/>
  </cols>
  <sheetData>
    <row r="2" spans="2:8" x14ac:dyDescent="0.25">
      <c r="B2" s="1"/>
      <c r="C2" s="1" t="s">
        <v>28</v>
      </c>
      <c r="D2" s="1" t="s">
        <v>29</v>
      </c>
      <c r="E2" s="1" t="s">
        <v>30</v>
      </c>
      <c r="F2" s="1" t="s">
        <v>31</v>
      </c>
    </row>
    <row r="3" spans="2:8" x14ac:dyDescent="0.25">
      <c r="B3" s="1" t="s">
        <v>9</v>
      </c>
      <c r="C3">
        <v>59.2</v>
      </c>
      <c r="D3">
        <v>62.1</v>
      </c>
      <c r="E3">
        <v>61.2</v>
      </c>
      <c r="F3">
        <v>65.400000000000006</v>
      </c>
    </row>
    <row r="4" spans="2:8" x14ac:dyDescent="0.25">
      <c r="B4" s="1" t="s">
        <v>10</v>
      </c>
      <c r="C4">
        <v>67.7</v>
      </c>
      <c r="D4">
        <v>62</v>
      </c>
      <c r="E4">
        <v>58.3</v>
      </c>
      <c r="F4">
        <v>57.5</v>
      </c>
      <c r="G4" t="s">
        <v>32</v>
      </c>
      <c r="H4" s="5">
        <f>SUM(C3:C14)/12</f>
        <v>64.041666666666657</v>
      </c>
    </row>
    <row r="5" spans="2:8" x14ac:dyDescent="0.25">
      <c r="B5" s="1" t="s">
        <v>12</v>
      </c>
      <c r="C5">
        <v>64.8</v>
      </c>
      <c r="D5">
        <v>59.9</v>
      </c>
      <c r="E5">
        <v>64.7</v>
      </c>
      <c r="F5">
        <v>57</v>
      </c>
      <c r="G5" t="s">
        <v>33</v>
      </c>
      <c r="H5" s="5">
        <f>SUM(D3:D14)/12</f>
        <v>59.175000000000004</v>
      </c>
    </row>
    <row r="6" spans="2:8" x14ac:dyDescent="0.25">
      <c r="B6" s="1" t="s">
        <v>14</v>
      </c>
      <c r="C6">
        <v>69.2</v>
      </c>
      <c r="D6">
        <v>60.4</v>
      </c>
      <c r="E6">
        <v>63.6</v>
      </c>
      <c r="F6">
        <v>61.9</v>
      </c>
      <c r="G6" t="s">
        <v>34</v>
      </c>
      <c r="H6" s="5">
        <f>SUM(E3:E15)/12</f>
        <v>58.800000000000004</v>
      </c>
    </row>
    <row r="7" spans="2:8" x14ac:dyDescent="0.25">
      <c r="B7" s="1" t="s">
        <v>16</v>
      </c>
      <c r="C7">
        <v>67.7</v>
      </c>
      <c r="D7">
        <v>50.9</v>
      </c>
      <c r="E7">
        <v>60.4</v>
      </c>
      <c r="F7">
        <v>61.1</v>
      </c>
      <c r="G7" t="s">
        <v>35</v>
      </c>
      <c r="H7" s="5">
        <f>SUM(F3:F12)/10</f>
        <v>60.14</v>
      </c>
    </row>
    <row r="8" spans="2:8" x14ac:dyDescent="0.25">
      <c r="B8" s="1" t="s">
        <v>36</v>
      </c>
      <c r="C8">
        <v>63.9</v>
      </c>
      <c r="D8">
        <v>62.2</v>
      </c>
      <c r="E8">
        <v>55.3</v>
      </c>
      <c r="F8">
        <v>59.3</v>
      </c>
    </row>
    <row r="9" spans="2:8" x14ac:dyDescent="0.25">
      <c r="B9" s="1" t="s">
        <v>20</v>
      </c>
      <c r="C9">
        <v>59.2</v>
      </c>
      <c r="D9">
        <v>58</v>
      </c>
      <c r="E9">
        <v>61.6</v>
      </c>
      <c r="F9">
        <v>55.2</v>
      </c>
    </row>
    <row r="10" spans="2:8" x14ac:dyDescent="0.25">
      <c r="B10" s="1" t="s">
        <v>37</v>
      </c>
      <c r="C10">
        <v>58.7</v>
      </c>
      <c r="D10">
        <v>54.9</v>
      </c>
      <c r="E10">
        <v>55</v>
      </c>
      <c r="F10">
        <v>66</v>
      </c>
    </row>
    <row r="11" spans="2:8" x14ac:dyDescent="0.25">
      <c r="B11" s="1" t="s">
        <v>23</v>
      </c>
      <c r="C11">
        <v>56.5</v>
      </c>
      <c r="D11">
        <v>57.5</v>
      </c>
      <c r="E11">
        <v>61.4</v>
      </c>
      <c r="F11">
        <v>59.2</v>
      </c>
    </row>
    <row r="12" spans="2:8" x14ac:dyDescent="0.25">
      <c r="B12" s="1" t="s">
        <v>24</v>
      </c>
      <c r="C12">
        <v>69.599999999999994</v>
      </c>
      <c r="D12">
        <v>68.7</v>
      </c>
      <c r="E12">
        <v>59.1</v>
      </c>
      <c r="F12">
        <v>58.8</v>
      </c>
    </row>
    <row r="13" spans="2:8" x14ac:dyDescent="0.25">
      <c r="B13" s="1" t="s">
        <v>25</v>
      </c>
      <c r="C13">
        <v>71.7</v>
      </c>
      <c r="D13">
        <v>63.9</v>
      </c>
      <c r="E13">
        <v>58</v>
      </c>
    </row>
    <row r="14" spans="2:8" x14ac:dyDescent="0.25">
      <c r="B14" s="1" t="s">
        <v>26</v>
      </c>
      <c r="C14">
        <v>60.3</v>
      </c>
      <c r="D14">
        <v>49.6</v>
      </c>
      <c r="E14">
        <v>47</v>
      </c>
    </row>
    <row r="15" spans="2:8" x14ac:dyDescent="0.25">
      <c r="B15" s="1" t="s">
        <v>38</v>
      </c>
      <c r="C15">
        <v>100</v>
      </c>
      <c r="D15">
        <v>100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0981-C5DA-4778-BBFD-4B8EF1C29704}">
  <dimension ref="B2:Q18"/>
  <sheetViews>
    <sheetView tabSelected="1" topLeftCell="C13" workbookViewId="0">
      <selection activeCell="K9" sqref="K9"/>
    </sheetView>
  </sheetViews>
  <sheetFormatPr defaultRowHeight="15" x14ac:dyDescent="0.25"/>
  <cols>
    <col min="2" max="2" width="15" customWidth="1"/>
    <col min="3" max="3" width="17.42578125" customWidth="1"/>
    <col min="4" max="4" width="29.42578125" customWidth="1"/>
    <col min="5" max="5" width="21.7109375" customWidth="1"/>
    <col min="6" max="6" width="17.85546875" customWidth="1"/>
    <col min="7" max="7" width="26.28515625" customWidth="1"/>
    <col min="10" max="10" width="19.28515625" customWidth="1"/>
    <col min="11" max="11" width="12" bestFit="1" customWidth="1"/>
    <col min="16" max="16" width="15.5703125" customWidth="1"/>
    <col min="17" max="17" width="15" customWidth="1"/>
  </cols>
  <sheetData>
    <row r="2" spans="2:17" x14ac:dyDescent="0.25"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</row>
    <row r="3" spans="2:17" x14ac:dyDescent="0.25">
      <c r="B3" s="1" t="s">
        <v>9</v>
      </c>
      <c r="C3">
        <v>72735</v>
      </c>
      <c r="D3">
        <v>75195</v>
      </c>
      <c r="E3">
        <v>85567</v>
      </c>
      <c r="F3">
        <v>109605</v>
      </c>
      <c r="G3">
        <v>131411</v>
      </c>
      <c r="P3" s="1"/>
      <c r="Q3" s="1"/>
    </row>
    <row r="4" spans="2:17" x14ac:dyDescent="0.25">
      <c r="B4" s="1" t="s">
        <v>10</v>
      </c>
      <c r="C4">
        <v>71786</v>
      </c>
      <c r="D4">
        <v>78969</v>
      </c>
      <c r="E4">
        <v>75576</v>
      </c>
      <c r="F4">
        <v>151625</v>
      </c>
      <c r="G4">
        <v>137901</v>
      </c>
      <c r="J4" s="1" t="s">
        <v>44</v>
      </c>
      <c r="K4" s="5">
        <f>SUM(C3:C14)/12</f>
        <v>86622.416666666672</v>
      </c>
      <c r="P4" s="1" t="s">
        <v>45</v>
      </c>
      <c r="Q4" s="1" t="s">
        <v>46</v>
      </c>
    </row>
    <row r="5" spans="2:17" x14ac:dyDescent="0.25">
      <c r="B5" s="1" t="s">
        <v>12</v>
      </c>
      <c r="C5">
        <v>66645</v>
      </c>
      <c r="D5">
        <v>107380</v>
      </c>
      <c r="E5">
        <v>114642</v>
      </c>
      <c r="F5">
        <v>123978</v>
      </c>
      <c r="G5">
        <v>89135</v>
      </c>
      <c r="J5" s="1" t="s">
        <v>47</v>
      </c>
      <c r="K5" s="5">
        <f>SUM(D3:D14)/12</f>
        <v>109196.75</v>
      </c>
      <c r="O5" t="s">
        <v>48</v>
      </c>
      <c r="P5">
        <v>121915</v>
      </c>
      <c r="Q5" s="5">
        <f t="shared" ref="Q5:Q10" si="0">P5/12</f>
        <v>10159.583333333334</v>
      </c>
    </row>
    <row r="6" spans="2:17" x14ac:dyDescent="0.25">
      <c r="B6" s="1" t="s">
        <v>14</v>
      </c>
      <c r="C6">
        <v>66726</v>
      </c>
      <c r="D6">
        <v>91168</v>
      </c>
      <c r="E6">
        <v>95591</v>
      </c>
      <c r="F6">
        <v>147929</v>
      </c>
      <c r="G6">
        <v>138441</v>
      </c>
      <c r="J6" s="1" t="s">
        <v>49</v>
      </c>
      <c r="K6" s="5">
        <f>SUM(E3:E14)/12</f>
        <v>121923.25</v>
      </c>
      <c r="O6" t="s">
        <v>50</v>
      </c>
      <c r="P6">
        <v>235782</v>
      </c>
      <c r="Q6" s="5">
        <f t="shared" si="0"/>
        <v>19648.5</v>
      </c>
    </row>
    <row r="7" spans="2:17" x14ac:dyDescent="0.25">
      <c r="B7" s="1" t="s">
        <v>16</v>
      </c>
      <c r="C7">
        <v>68606</v>
      </c>
      <c r="D7">
        <v>112545</v>
      </c>
      <c r="E7">
        <v>123912</v>
      </c>
      <c r="F7">
        <v>117736</v>
      </c>
      <c r="G7">
        <v>166458</v>
      </c>
      <c r="J7" s="1" t="s">
        <v>51</v>
      </c>
      <c r="K7" s="5">
        <f>SUM(F3:F14)/12</f>
        <v>144162.16666666666</v>
      </c>
      <c r="O7" t="s">
        <v>52</v>
      </c>
      <c r="P7">
        <v>16464</v>
      </c>
      <c r="Q7" s="5">
        <f t="shared" si="0"/>
        <v>1372</v>
      </c>
    </row>
    <row r="8" spans="2:17" x14ac:dyDescent="0.25">
      <c r="B8" s="1" t="s">
        <v>18</v>
      </c>
      <c r="C8">
        <v>76284</v>
      </c>
      <c r="D8">
        <v>185968</v>
      </c>
      <c r="E8">
        <v>147311</v>
      </c>
      <c r="F8">
        <v>133940</v>
      </c>
      <c r="G8">
        <v>175938</v>
      </c>
      <c r="J8" s="1" t="s">
        <v>53</v>
      </c>
      <c r="K8" s="5">
        <f>SUM(G3:G13)/11</f>
        <v>172645.36363636365</v>
      </c>
      <c r="O8" t="s">
        <v>54</v>
      </c>
      <c r="P8">
        <v>161814</v>
      </c>
      <c r="Q8" s="5">
        <f t="shared" si="0"/>
        <v>13484.5</v>
      </c>
    </row>
    <row r="9" spans="2:17" x14ac:dyDescent="0.25">
      <c r="B9" s="1" t="s">
        <v>20</v>
      </c>
      <c r="C9">
        <v>76961</v>
      </c>
      <c r="D9">
        <v>111189</v>
      </c>
      <c r="E9">
        <v>148545</v>
      </c>
      <c r="F9">
        <v>143342</v>
      </c>
      <c r="G9">
        <v>126161</v>
      </c>
      <c r="J9" s="1"/>
      <c r="O9" t="s">
        <v>55</v>
      </c>
      <c r="P9">
        <v>585168</v>
      </c>
      <c r="Q9" s="5">
        <f t="shared" si="0"/>
        <v>48764</v>
      </c>
    </row>
    <row r="10" spans="2:17" x14ac:dyDescent="0.25">
      <c r="B10" s="1" t="s">
        <v>22</v>
      </c>
      <c r="C10">
        <v>92011</v>
      </c>
      <c r="D10">
        <v>91461</v>
      </c>
      <c r="E10">
        <v>100958</v>
      </c>
      <c r="F10">
        <v>129997</v>
      </c>
      <c r="G10">
        <v>143714</v>
      </c>
      <c r="O10" t="s">
        <v>56</v>
      </c>
      <c r="P10">
        <v>279869</v>
      </c>
      <c r="Q10" s="5">
        <f t="shared" si="0"/>
        <v>23322.416666666668</v>
      </c>
    </row>
    <row r="11" spans="2:17" x14ac:dyDescent="0.25">
      <c r="B11" s="1" t="s">
        <v>23</v>
      </c>
      <c r="C11">
        <v>123447</v>
      </c>
      <c r="D11">
        <v>126851</v>
      </c>
      <c r="E11">
        <v>132197</v>
      </c>
      <c r="F11">
        <v>163681</v>
      </c>
      <c r="G11">
        <v>232069</v>
      </c>
    </row>
    <row r="12" spans="2:17" x14ac:dyDescent="0.25">
      <c r="B12" s="1" t="s">
        <v>24</v>
      </c>
      <c r="C12">
        <v>109966</v>
      </c>
      <c r="D12">
        <v>142821</v>
      </c>
      <c r="E12">
        <v>189014</v>
      </c>
      <c r="F12">
        <v>252641</v>
      </c>
      <c r="G12">
        <v>364197</v>
      </c>
      <c r="P12" s="1" t="s">
        <v>57</v>
      </c>
      <c r="Q12" s="1" t="s">
        <v>46</v>
      </c>
    </row>
    <row r="13" spans="2:17" x14ac:dyDescent="0.25">
      <c r="B13" s="1" t="s">
        <v>58</v>
      </c>
      <c r="C13">
        <v>140981</v>
      </c>
      <c r="D13">
        <v>113423</v>
      </c>
      <c r="E13">
        <v>185581</v>
      </c>
      <c r="F13">
        <v>174801</v>
      </c>
      <c r="G13">
        <v>193674</v>
      </c>
      <c r="O13" t="s">
        <v>48</v>
      </c>
      <c r="P13" s="20">
        <v>139936</v>
      </c>
      <c r="Q13" s="17">
        <f>P13/10</f>
        <v>13993.6</v>
      </c>
    </row>
    <row r="14" spans="2:17" x14ac:dyDescent="0.25">
      <c r="B14" s="1" t="s">
        <v>26</v>
      </c>
      <c r="C14">
        <v>73321</v>
      </c>
      <c r="D14">
        <v>73391</v>
      </c>
      <c r="E14">
        <v>64185</v>
      </c>
      <c r="F14">
        <v>80671</v>
      </c>
      <c r="O14" t="s">
        <v>50</v>
      </c>
      <c r="P14">
        <v>246481</v>
      </c>
      <c r="Q14" s="17">
        <f t="shared" ref="Q14:Q18" si="1">P14/10</f>
        <v>24648.1</v>
      </c>
    </row>
    <row r="15" spans="2:17" x14ac:dyDescent="0.25">
      <c r="B15" s="1" t="s">
        <v>27</v>
      </c>
      <c r="C15" s="4">
        <f>SUM(C3:C14)</f>
        <v>1039469</v>
      </c>
      <c r="D15" s="4">
        <f t="shared" ref="D15:E15" si="2">SUM(D3:D14)</f>
        <v>1310361</v>
      </c>
      <c r="E15" s="4">
        <f t="shared" si="2"/>
        <v>1463079</v>
      </c>
      <c r="F15" s="4">
        <f>SUM(F3:F14)</f>
        <v>1729946</v>
      </c>
      <c r="O15" t="s">
        <v>52</v>
      </c>
      <c r="P15">
        <v>26491</v>
      </c>
      <c r="Q15" s="17">
        <f t="shared" si="1"/>
        <v>2649.1</v>
      </c>
    </row>
    <row r="16" spans="2:17" x14ac:dyDescent="0.25">
      <c r="O16" t="s">
        <v>54</v>
      </c>
      <c r="P16">
        <v>300789</v>
      </c>
      <c r="Q16" s="17">
        <f t="shared" si="1"/>
        <v>30078.9</v>
      </c>
    </row>
    <row r="17" spans="15:17" x14ac:dyDescent="0.25">
      <c r="O17" t="s">
        <v>55</v>
      </c>
      <c r="P17">
        <v>546078</v>
      </c>
      <c r="Q17" s="17">
        <f t="shared" si="1"/>
        <v>54607.8</v>
      </c>
    </row>
    <row r="18" spans="15:17" x14ac:dyDescent="0.25">
      <c r="O18" t="s">
        <v>56</v>
      </c>
      <c r="P18">
        <v>184905</v>
      </c>
      <c r="Q18" s="17">
        <f t="shared" si="1"/>
        <v>18490.5</v>
      </c>
    </row>
  </sheetData>
  <conditionalFormatting sqref="R13">
    <cfRule type="iconSet" priority="1">
      <iconSet iconSet="3Flags">
        <cfvo type="percent" val="0"/>
        <cfvo type="percent" val="90"/>
        <cfvo type="percent" val="10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F3D7-AE9E-488E-B2D3-0D02DB4ED4BB}">
  <dimension ref="B2:O43"/>
  <sheetViews>
    <sheetView workbookViewId="0">
      <selection activeCell="F17" sqref="F17"/>
    </sheetView>
  </sheetViews>
  <sheetFormatPr defaultRowHeight="15" x14ac:dyDescent="0.25"/>
  <cols>
    <col min="2" max="2" width="18.85546875" customWidth="1"/>
    <col min="3" max="3" width="24.7109375" customWidth="1"/>
    <col min="4" max="4" width="26.28515625" customWidth="1"/>
    <col min="5" max="5" width="24.85546875" customWidth="1"/>
    <col min="6" max="6" width="22.140625" customWidth="1"/>
    <col min="7" max="7" width="20.140625" customWidth="1"/>
    <col min="8" max="8" width="23.42578125" customWidth="1"/>
    <col min="12" max="12" width="17.42578125" customWidth="1"/>
    <col min="13" max="13" width="12.85546875" customWidth="1"/>
    <col min="14" max="14" width="17.42578125" customWidth="1"/>
    <col min="15" max="15" width="16" customWidth="1"/>
  </cols>
  <sheetData>
    <row r="2" spans="2:15" x14ac:dyDescent="0.25">
      <c r="C2" s="1" t="s">
        <v>1</v>
      </c>
      <c r="D2" s="1" t="s">
        <v>2</v>
      </c>
      <c r="E2" s="1" t="s">
        <v>3</v>
      </c>
      <c r="F2" s="1" t="s">
        <v>5</v>
      </c>
      <c r="G2" s="1" t="s">
        <v>6</v>
      </c>
      <c r="H2" s="1" t="s">
        <v>7</v>
      </c>
      <c r="L2" s="1" t="s">
        <v>39</v>
      </c>
      <c r="M2" s="1" t="s">
        <v>40</v>
      </c>
      <c r="N2" s="1" t="s">
        <v>41</v>
      </c>
      <c r="O2" s="1" t="s">
        <v>42</v>
      </c>
    </row>
    <row r="3" spans="2:15" x14ac:dyDescent="0.25">
      <c r="B3" s="1" t="s">
        <v>9</v>
      </c>
      <c r="C3">
        <v>184</v>
      </c>
      <c r="D3">
        <v>248</v>
      </c>
      <c r="E3">
        <v>341</v>
      </c>
      <c r="F3">
        <v>109</v>
      </c>
      <c r="G3">
        <v>154</v>
      </c>
      <c r="H3">
        <v>198</v>
      </c>
      <c r="K3" s="1" t="s">
        <v>9</v>
      </c>
      <c r="L3">
        <v>72735</v>
      </c>
      <c r="M3">
        <v>75195</v>
      </c>
      <c r="N3">
        <v>85567</v>
      </c>
      <c r="O3">
        <v>103548</v>
      </c>
    </row>
    <row r="4" spans="2:15" x14ac:dyDescent="0.25">
      <c r="B4" s="1" t="s">
        <v>10</v>
      </c>
      <c r="C4">
        <v>186</v>
      </c>
      <c r="D4">
        <v>261</v>
      </c>
      <c r="E4">
        <v>393</v>
      </c>
      <c r="F4">
        <v>126</v>
      </c>
      <c r="G4">
        <v>162</v>
      </c>
      <c r="H4">
        <v>220</v>
      </c>
      <c r="K4" s="1" t="s">
        <v>10</v>
      </c>
      <c r="L4">
        <v>71786</v>
      </c>
      <c r="M4">
        <v>78969</v>
      </c>
      <c r="N4">
        <v>75576</v>
      </c>
      <c r="O4">
        <v>144548</v>
      </c>
    </row>
    <row r="5" spans="2:15" x14ac:dyDescent="0.25">
      <c r="B5" s="1" t="s">
        <v>12</v>
      </c>
      <c r="C5">
        <v>230</v>
      </c>
      <c r="D5">
        <v>362</v>
      </c>
      <c r="E5">
        <v>354</v>
      </c>
      <c r="F5">
        <v>149</v>
      </c>
      <c r="G5">
        <v>218</v>
      </c>
      <c r="H5">
        <v>229</v>
      </c>
      <c r="K5" s="1" t="s">
        <v>12</v>
      </c>
      <c r="L5">
        <v>66645</v>
      </c>
      <c r="M5">
        <v>107380</v>
      </c>
      <c r="N5">
        <v>114642</v>
      </c>
      <c r="O5">
        <v>117256</v>
      </c>
    </row>
    <row r="6" spans="2:15" x14ac:dyDescent="0.25">
      <c r="B6" s="1" t="s">
        <v>14</v>
      </c>
      <c r="C6">
        <v>172</v>
      </c>
      <c r="D6">
        <v>270</v>
      </c>
      <c r="E6">
        <v>343</v>
      </c>
      <c r="F6">
        <v>119</v>
      </c>
      <c r="G6">
        <v>168</v>
      </c>
      <c r="H6">
        <v>218</v>
      </c>
      <c r="K6" s="1" t="s">
        <v>14</v>
      </c>
      <c r="L6">
        <v>66726</v>
      </c>
      <c r="M6">
        <v>91168</v>
      </c>
      <c r="N6">
        <v>95591</v>
      </c>
      <c r="O6">
        <v>132157</v>
      </c>
    </row>
    <row r="7" spans="2:15" x14ac:dyDescent="0.25">
      <c r="B7" s="1" t="s">
        <v>16</v>
      </c>
      <c r="C7">
        <v>230</v>
      </c>
      <c r="D7">
        <v>281</v>
      </c>
      <c r="E7">
        <v>399</v>
      </c>
      <c r="F7">
        <v>149</v>
      </c>
      <c r="G7">
        <v>143</v>
      </c>
      <c r="H7">
        <v>223</v>
      </c>
      <c r="K7" s="1" t="s">
        <v>16</v>
      </c>
      <c r="L7">
        <v>68606</v>
      </c>
      <c r="M7">
        <v>112545</v>
      </c>
      <c r="N7">
        <v>123912</v>
      </c>
      <c r="O7">
        <v>118788</v>
      </c>
    </row>
    <row r="8" spans="2:15" x14ac:dyDescent="0.25">
      <c r="B8" s="1" t="s">
        <v>18</v>
      </c>
      <c r="C8">
        <v>205</v>
      </c>
      <c r="D8">
        <v>258</v>
      </c>
      <c r="E8">
        <v>336</v>
      </c>
      <c r="F8">
        <v>131</v>
      </c>
      <c r="G8">
        <v>154</v>
      </c>
      <c r="H8">
        <v>189</v>
      </c>
      <c r="K8" s="1" t="s">
        <v>18</v>
      </c>
      <c r="L8">
        <v>76284</v>
      </c>
      <c r="M8">
        <v>185968</v>
      </c>
      <c r="N8">
        <v>147311</v>
      </c>
      <c r="O8">
        <v>133940</v>
      </c>
    </row>
    <row r="9" spans="2:15" x14ac:dyDescent="0.25">
      <c r="B9" s="1" t="s">
        <v>20</v>
      </c>
      <c r="C9">
        <v>218</v>
      </c>
      <c r="D9">
        <v>295</v>
      </c>
      <c r="E9">
        <v>333</v>
      </c>
      <c r="F9">
        <v>129</v>
      </c>
      <c r="G9">
        <v>171</v>
      </c>
      <c r="H9">
        <v>201</v>
      </c>
      <c r="K9" s="1" t="s">
        <v>20</v>
      </c>
      <c r="L9">
        <v>76961</v>
      </c>
      <c r="M9">
        <v>111189</v>
      </c>
      <c r="N9">
        <v>148545</v>
      </c>
      <c r="O9">
        <v>143342</v>
      </c>
    </row>
    <row r="10" spans="2:15" x14ac:dyDescent="0.25">
      <c r="B10" s="1" t="s">
        <v>22</v>
      </c>
      <c r="C10">
        <v>269</v>
      </c>
      <c r="D10">
        <v>319</v>
      </c>
      <c r="E10">
        <v>278</v>
      </c>
      <c r="F10">
        <v>158</v>
      </c>
      <c r="G10">
        <v>175</v>
      </c>
      <c r="H10">
        <v>153</v>
      </c>
      <c r="K10" s="1" t="s">
        <v>22</v>
      </c>
      <c r="L10">
        <v>92011</v>
      </c>
      <c r="M10">
        <v>91461</v>
      </c>
      <c r="N10">
        <v>100958</v>
      </c>
      <c r="O10">
        <v>129997</v>
      </c>
    </row>
    <row r="11" spans="2:15" x14ac:dyDescent="0.25">
      <c r="B11" s="1" t="s">
        <v>23</v>
      </c>
      <c r="C11">
        <v>329</v>
      </c>
      <c r="D11">
        <v>355</v>
      </c>
      <c r="E11">
        <v>350</v>
      </c>
      <c r="F11">
        <v>186</v>
      </c>
      <c r="G11">
        <v>204</v>
      </c>
      <c r="H11">
        <v>204</v>
      </c>
      <c r="K11" s="1" t="s">
        <v>23</v>
      </c>
      <c r="L11">
        <v>123447</v>
      </c>
      <c r="M11">
        <v>126851</v>
      </c>
      <c r="N11">
        <v>132197</v>
      </c>
      <c r="O11">
        <v>252641</v>
      </c>
    </row>
    <row r="12" spans="2:15" x14ac:dyDescent="0.25">
      <c r="B12" s="1" t="s">
        <v>24</v>
      </c>
      <c r="C12">
        <v>286</v>
      </c>
      <c r="D12">
        <v>361</v>
      </c>
      <c r="E12">
        <v>303</v>
      </c>
      <c r="F12">
        <v>199</v>
      </c>
      <c r="G12">
        <v>248</v>
      </c>
      <c r="H12">
        <v>177</v>
      </c>
      <c r="K12" s="1" t="s">
        <v>24</v>
      </c>
      <c r="L12">
        <v>109966</v>
      </c>
      <c r="M12">
        <v>142821</v>
      </c>
      <c r="N12">
        <v>189014</v>
      </c>
      <c r="O12">
        <v>174801</v>
      </c>
    </row>
    <row r="13" spans="2:15" x14ac:dyDescent="0.25">
      <c r="B13" s="1" t="s">
        <v>25</v>
      </c>
      <c r="C13">
        <v>239</v>
      </c>
      <c r="D13">
        <v>330</v>
      </c>
      <c r="E13">
        <v>286</v>
      </c>
      <c r="F13">
        <v>170</v>
      </c>
      <c r="G13">
        <v>211</v>
      </c>
      <c r="H13">
        <v>167</v>
      </c>
      <c r="K13" s="1" t="s">
        <v>58</v>
      </c>
      <c r="L13">
        <v>140981</v>
      </c>
      <c r="M13">
        <v>113423</v>
      </c>
      <c r="N13">
        <v>185581</v>
      </c>
    </row>
    <row r="14" spans="2:15" x14ac:dyDescent="0.25">
      <c r="B14" s="1" t="s">
        <v>26</v>
      </c>
      <c r="C14">
        <v>151</v>
      </c>
      <c r="D14">
        <v>127</v>
      </c>
      <c r="F14">
        <v>91</v>
      </c>
      <c r="G14">
        <v>63</v>
      </c>
      <c r="K14" s="1" t="s">
        <v>26</v>
      </c>
      <c r="L14">
        <v>73321</v>
      </c>
      <c r="M14">
        <v>73391</v>
      </c>
      <c r="N14">
        <v>64185</v>
      </c>
    </row>
    <row r="15" spans="2:15" x14ac:dyDescent="0.25">
      <c r="K15" s="1" t="s">
        <v>27</v>
      </c>
      <c r="L15" s="4">
        <f>SUM(L3:L14)</f>
        <v>1039469</v>
      </c>
      <c r="M15" s="4">
        <f t="shared" ref="M15:N15" si="0">SUM(M3:M14)</f>
        <v>1310361</v>
      </c>
      <c r="N15" s="4">
        <f t="shared" si="0"/>
        <v>1463079</v>
      </c>
      <c r="O15" s="4">
        <f>SUM(O3:O14)</f>
        <v>1451018</v>
      </c>
    </row>
    <row r="17" spans="2:5" x14ac:dyDescent="0.25">
      <c r="B17" s="1"/>
      <c r="C17" s="14" t="s">
        <v>59</v>
      </c>
      <c r="D17" s="14" t="s">
        <v>60</v>
      </c>
      <c r="E17" s="14" t="s">
        <v>61</v>
      </c>
    </row>
    <row r="18" spans="2:5" x14ac:dyDescent="0.25">
      <c r="B18" s="1" t="s">
        <v>9</v>
      </c>
      <c r="C18" s="15">
        <f>M3/C3</f>
        <v>408.66847826086956</v>
      </c>
      <c r="D18" s="15">
        <f>N3/D3</f>
        <v>345.02822580645159</v>
      </c>
      <c r="E18" s="15">
        <f>O3/E3</f>
        <v>303.65982404692085</v>
      </c>
    </row>
    <row r="19" spans="2:5" x14ac:dyDescent="0.25">
      <c r="B19" s="1" t="s">
        <v>10</v>
      </c>
      <c r="C19" s="15">
        <f t="shared" ref="C19:C29" si="1">M4/C4</f>
        <v>424.56451612903226</v>
      </c>
      <c r="D19" s="15">
        <f t="shared" ref="D19:D29" si="2">N4/D4</f>
        <v>289.56321839080459</v>
      </c>
      <c r="E19" s="15">
        <f t="shared" ref="E19:E25" si="3">O4/E4</f>
        <v>367.8066157760814</v>
      </c>
    </row>
    <row r="20" spans="2:5" x14ac:dyDescent="0.25">
      <c r="B20" s="1" t="s">
        <v>12</v>
      </c>
      <c r="C20" s="15">
        <f t="shared" si="1"/>
        <v>466.86956521739131</v>
      </c>
      <c r="D20" s="15">
        <f t="shared" si="2"/>
        <v>316.69060773480663</v>
      </c>
      <c r="E20" s="15">
        <f t="shared" si="3"/>
        <v>331.23163841807911</v>
      </c>
    </row>
    <row r="21" spans="2:5" x14ac:dyDescent="0.25">
      <c r="B21" s="1" t="s">
        <v>14</v>
      </c>
      <c r="C21" s="15">
        <f t="shared" si="1"/>
        <v>530.04651162790697</v>
      </c>
      <c r="D21" s="15">
        <f t="shared" si="2"/>
        <v>354.04074074074072</v>
      </c>
      <c r="E21" s="15">
        <f t="shared" si="3"/>
        <v>385.29737609329447</v>
      </c>
    </row>
    <row r="22" spans="2:5" x14ac:dyDescent="0.25">
      <c r="B22" s="1" t="s">
        <v>16</v>
      </c>
      <c r="C22" s="15">
        <f t="shared" si="1"/>
        <v>489.32608695652175</v>
      </c>
      <c r="D22" s="15">
        <f t="shared" si="2"/>
        <v>440.96797153024909</v>
      </c>
      <c r="E22" s="15">
        <f t="shared" si="3"/>
        <v>297.71428571428572</v>
      </c>
    </row>
    <row r="23" spans="2:5" x14ac:dyDescent="0.25">
      <c r="B23" s="1" t="s">
        <v>18</v>
      </c>
      <c r="C23" s="15">
        <f t="shared" si="1"/>
        <v>907.16097560975606</v>
      </c>
      <c r="D23" s="15">
        <f t="shared" si="2"/>
        <v>570.97286821705427</v>
      </c>
      <c r="E23" s="15">
        <f t="shared" si="3"/>
        <v>398.63095238095241</v>
      </c>
    </row>
    <row r="24" spans="2:5" x14ac:dyDescent="0.25">
      <c r="B24" s="1" t="s">
        <v>20</v>
      </c>
      <c r="C24" s="15">
        <f t="shared" si="1"/>
        <v>510.04128440366975</v>
      </c>
      <c r="D24" s="15">
        <f t="shared" si="2"/>
        <v>503.54237288135596</v>
      </c>
      <c r="E24" s="15">
        <f t="shared" si="3"/>
        <v>430.45645645645646</v>
      </c>
    </row>
    <row r="25" spans="2:5" x14ac:dyDescent="0.25">
      <c r="B25" s="1" t="s">
        <v>22</v>
      </c>
      <c r="C25" s="15">
        <f t="shared" si="1"/>
        <v>340.00371747211898</v>
      </c>
      <c r="D25" s="15">
        <f t="shared" si="2"/>
        <v>316.48275862068965</v>
      </c>
      <c r="E25" s="15">
        <f t="shared" si="3"/>
        <v>467.61510791366908</v>
      </c>
    </row>
    <row r="26" spans="2:5" x14ac:dyDescent="0.25">
      <c r="B26" s="1" t="s">
        <v>23</v>
      </c>
      <c r="C26" s="15">
        <f t="shared" si="1"/>
        <v>385.56534954407294</v>
      </c>
      <c r="D26" s="15">
        <f t="shared" si="2"/>
        <v>372.38591549295774</v>
      </c>
      <c r="E26" s="15">
        <f>O11/E11</f>
        <v>721.83142857142855</v>
      </c>
    </row>
    <row r="27" spans="2:5" x14ac:dyDescent="0.25">
      <c r="B27" s="1" t="s">
        <v>24</v>
      </c>
      <c r="C27" s="15">
        <f t="shared" si="1"/>
        <v>499.37412587412587</v>
      </c>
      <c r="D27" s="15">
        <f t="shared" si="2"/>
        <v>523.58448753462608</v>
      </c>
      <c r="E27" s="16"/>
    </row>
    <row r="28" spans="2:5" x14ac:dyDescent="0.25">
      <c r="B28" s="1" t="s">
        <v>25</v>
      </c>
      <c r="C28" s="15">
        <f t="shared" si="1"/>
        <v>474.57322175732219</v>
      </c>
      <c r="D28" s="15">
        <f t="shared" si="2"/>
        <v>562.36666666666667</v>
      </c>
      <c r="E28" s="16"/>
    </row>
    <row r="29" spans="2:5" x14ac:dyDescent="0.25">
      <c r="B29" s="1" t="s">
        <v>26</v>
      </c>
      <c r="C29" s="15">
        <f t="shared" si="1"/>
        <v>486.03311258278148</v>
      </c>
      <c r="D29" s="15">
        <f t="shared" si="2"/>
        <v>505.3937007874016</v>
      </c>
      <c r="E29" s="16"/>
    </row>
    <row r="31" spans="2:5" x14ac:dyDescent="0.25">
      <c r="C31" s="11" t="s">
        <v>62</v>
      </c>
      <c r="D31" s="11" t="s">
        <v>63</v>
      </c>
      <c r="E31" s="11" t="s">
        <v>64</v>
      </c>
    </row>
    <row r="32" spans="2:5" x14ac:dyDescent="0.25">
      <c r="B32" s="1" t="s">
        <v>9</v>
      </c>
      <c r="C32" s="12">
        <f>M3/F3</f>
        <v>689.86238532110087</v>
      </c>
      <c r="D32" s="12">
        <f>N3/G3</f>
        <v>555.62987012987014</v>
      </c>
      <c r="E32" s="12">
        <f>O3/H3</f>
        <v>522.969696969697</v>
      </c>
    </row>
    <row r="33" spans="2:5" x14ac:dyDescent="0.25">
      <c r="B33" s="1" t="s">
        <v>10</v>
      </c>
      <c r="C33" s="12">
        <f t="shared" ref="C33:C43" si="4">M4/F4</f>
        <v>626.73809523809518</v>
      </c>
      <c r="D33" s="12">
        <f t="shared" ref="D33:D43" si="5">N4/G4</f>
        <v>466.51851851851853</v>
      </c>
      <c r="E33" s="12">
        <f t="shared" ref="E33:E39" si="6">O4/H4</f>
        <v>657.0363636363636</v>
      </c>
    </row>
    <row r="34" spans="2:5" x14ac:dyDescent="0.25">
      <c r="B34" s="1" t="s">
        <v>12</v>
      </c>
      <c r="C34" s="12">
        <f t="shared" si="4"/>
        <v>720.67114093959731</v>
      </c>
      <c r="D34" s="12">
        <f t="shared" si="5"/>
        <v>525.88073394495416</v>
      </c>
      <c r="E34" s="12">
        <f t="shared" si="6"/>
        <v>512.03493449781661</v>
      </c>
    </row>
    <row r="35" spans="2:5" x14ac:dyDescent="0.25">
      <c r="B35" s="1" t="s">
        <v>14</v>
      </c>
      <c r="C35" s="12">
        <f t="shared" si="4"/>
        <v>766.11764705882354</v>
      </c>
      <c r="D35" s="12">
        <f t="shared" si="5"/>
        <v>568.99404761904759</v>
      </c>
      <c r="E35" s="12">
        <f t="shared" si="6"/>
        <v>606.22477064220186</v>
      </c>
    </row>
    <row r="36" spans="2:5" x14ac:dyDescent="0.25">
      <c r="B36" s="1" t="s">
        <v>16</v>
      </c>
      <c r="C36" s="12">
        <f t="shared" si="4"/>
        <v>755.33557046979865</v>
      </c>
      <c r="D36" s="12">
        <f t="shared" si="5"/>
        <v>866.51748251748256</v>
      </c>
      <c r="E36" s="12">
        <f t="shared" si="6"/>
        <v>532.68161434977583</v>
      </c>
    </row>
    <row r="37" spans="2:5" x14ac:dyDescent="0.25">
      <c r="B37" s="1" t="s">
        <v>18</v>
      </c>
      <c r="C37" s="12">
        <f t="shared" si="4"/>
        <v>1419.6030534351146</v>
      </c>
      <c r="D37" s="12">
        <f t="shared" si="5"/>
        <v>956.56493506493507</v>
      </c>
      <c r="E37" s="12">
        <f t="shared" si="6"/>
        <v>708.67724867724871</v>
      </c>
    </row>
    <row r="38" spans="2:5" x14ac:dyDescent="0.25">
      <c r="B38" s="1" t="s">
        <v>20</v>
      </c>
      <c r="C38" s="12">
        <f t="shared" si="4"/>
        <v>861.93023255813955</v>
      </c>
      <c r="D38" s="12">
        <f t="shared" si="5"/>
        <v>868.68421052631584</v>
      </c>
      <c r="E38" s="12">
        <f t="shared" si="6"/>
        <v>713.14427860696514</v>
      </c>
    </row>
    <row r="39" spans="2:5" x14ac:dyDescent="0.25">
      <c r="B39" s="1" t="s">
        <v>22</v>
      </c>
      <c r="C39" s="12">
        <f t="shared" si="4"/>
        <v>578.86708860759495</v>
      </c>
      <c r="D39" s="12">
        <f t="shared" si="5"/>
        <v>576.9028571428571</v>
      </c>
      <c r="E39" s="12">
        <f t="shared" si="6"/>
        <v>849.65359477124184</v>
      </c>
    </row>
    <row r="40" spans="2:5" x14ac:dyDescent="0.25">
      <c r="B40" s="1" t="s">
        <v>23</v>
      </c>
      <c r="C40" s="12">
        <f t="shared" si="4"/>
        <v>681.99462365591398</v>
      </c>
      <c r="D40" s="12">
        <f t="shared" si="5"/>
        <v>648.02450980392155</v>
      </c>
      <c r="E40" s="12">
        <f>O11/H11</f>
        <v>1238.436274509804</v>
      </c>
    </row>
    <row r="41" spans="2:5" x14ac:dyDescent="0.25">
      <c r="B41" s="1" t="s">
        <v>24</v>
      </c>
      <c r="C41" s="12">
        <f t="shared" si="4"/>
        <v>717.6934673366834</v>
      </c>
      <c r="D41" s="12">
        <f t="shared" si="5"/>
        <v>762.15322580645159</v>
      </c>
      <c r="E41" s="13"/>
    </row>
    <row r="42" spans="2:5" x14ac:dyDescent="0.25">
      <c r="B42" s="1" t="s">
        <v>25</v>
      </c>
      <c r="C42" s="12">
        <f t="shared" si="4"/>
        <v>667.19411764705887</v>
      </c>
      <c r="D42" s="12">
        <f t="shared" si="5"/>
        <v>879.53080568720384</v>
      </c>
      <c r="E42" s="13"/>
    </row>
    <row r="43" spans="2:5" x14ac:dyDescent="0.25">
      <c r="B43" s="1" t="s">
        <v>26</v>
      </c>
      <c r="C43" s="12">
        <f t="shared" si="4"/>
        <v>806.49450549450546</v>
      </c>
      <c r="D43" s="12">
        <f t="shared" si="5"/>
        <v>1018.8095238095239</v>
      </c>
      <c r="E43" s="1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28FB-AA38-4AF2-8866-DB24393A06D3}">
  <dimension ref="A1:K46"/>
  <sheetViews>
    <sheetView workbookViewId="0">
      <selection activeCell="F5" sqref="F5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339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t="s">
        <v>72</v>
      </c>
      <c r="E4">
        <v>88</v>
      </c>
      <c r="F4" s="6">
        <f>(E4/B1)*100</f>
        <v>25.958702064896755</v>
      </c>
      <c r="G4">
        <v>57</v>
      </c>
      <c r="H4" s="10">
        <f>(G4/E4)*100</f>
        <v>64.772727272727266</v>
      </c>
      <c r="I4">
        <v>28153</v>
      </c>
      <c r="J4" s="10">
        <f t="shared" ref="J4:J9" si="0">I4/G4</f>
        <v>493.91228070175441</v>
      </c>
    </row>
    <row r="5" spans="1:11" x14ac:dyDescent="0.25">
      <c r="A5" s="1"/>
      <c r="D5" t="s">
        <v>73</v>
      </c>
      <c r="E5">
        <v>55</v>
      </c>
      <c r="F5" s="6">
        <f>(E5/B1)*100</f>
        <v>16.224188790560472</v>
      </c>
      <c r="G5">
        <v>37</v>
      </c>
      <c r="H5" s="10">
        <f>(G5/E5)*100</f>
        <v>67.272727272727266</v>
      </c>
      <c r="I5">
        <v>15123</v>
      </c>
      <c r="J5" s="10">
        <f t="shared" si="0"/>
        <v>408.72972972972974</v>
      </c>
      <c r="K5" s="7"/>
    </row>
    <row r="6" spans="1:11" x14ac:dyDescent="0.25">
      <c r="A6" s="1"/>
      <c r="B6" s="6"/>
      <c r="C6" s="6"/>
      <c r="D6" t="s">
        <v>74</v>
      </c>
      <c r="E6">
        <v>91</v>
      </c>
      <c r="F6" s="6">
        <f>(E6/B1)*100</f>
        <v>26.843657817109147</v>
      </c>
      <c r="G6">
        <v>50</v>
      </c>
      <c r="H6" s="10">
        <f>(G6/E6)*100</f>
        <v>54.945054945054949</v>
      </c>
      <c r="I6">
        <v>9292</v>
      </c>
      <c r="J6" s="10">
        <f t="shared" si="0"/>
        <v>185.84</v>
      </c>
    </row>
    <row r="7" spans="1:11" x14ac:dyDescent="0.25">
      <c r="A7" s="1"/>
      <c r="D7" t="s">
        <v>75</v>
      </c>
      <c r="E7">
        <v>29</v>
      </c>
      <c r="F7" s="6">
        <f>(E7/B1)*100</f>
        <v>8.5545722713864301</v>
      </c>
      <c r="G7">
        <v>11</v>
      </c>
      <c r="H7" s="10">
        <f>(G7/E7)*100</f>
        <v>37.931034482758619</v>
      </c>
      <c r="I7">
        <v>5014</v>
      </c>
      <c r="J7" s="10">
        <f t="shared" si="0"/>
        <v>455.81818181818181</v>
      </c>
    </row>
    <row r="8" spans="1:11" x14ac:dyDescent="0.25">
      <c r="A8" s="1"/>
      <c r="B8" s="6"/>
      <c r="D8" t="s">
        <v>76</v>
      </c>
      <c r="E8">
        <v>67</v>
      </c>
      <c r="F8" s="6">
        <f>(E8/B1)*100</f>
        <v>19.764011799410032</v>
      </c>
      <c r="G8">
        <v>49</v>
      </c>
      <c r="H8" s="10">
        <f>(G8/E8)*100</f>
        <v>73.134328358208961</v>
      </c>
      <c r="I8">
        <v>39635</v>
      </c>
      <c r="J8" s="10">
        <f t="shared" si="0"/>
        <v>808.87755102040819</v>
      </c>
    </row>
    <row r="9" spans="1:11" x14ac:dyDescent="0.25">
      <c r="A9" s="1"/>
      <c r="D9" s="1" t="s">
        <v>77</v>
      </c>
      <c r="E9" s="9">
        <v>338</v>
      </c>
      <c r="F9" s="9"/>
      <c r="G9" s="9">
        <v>207</v>
      </c>
      <c r="H9" s="9"/>
      <c r="I9" s="9">
        <f>SUM(I4:I8)</f>
        <v>97217</v>
      </c>
      <c r="J9" s="10">
        <f t="shared" si="0"/>
        <v>469.64734299516908</v>
      </c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EF96-1356-472A-AA3B-EE20EDF362B0}">
  <dimension ref="A1:K46"/>
  <sheetViews>
    <sheetView workbookViewId="0">
      <selection activeCell="D12" sqref="D12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339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t="s">
        <v>72</v>
      </c>
      <c r="E4">
        <v>124</v>
      </c>
      <c r="F4" s="6">
        <f>(E4/B1)*100</f>
        <v>36.578171091445427</v>
      </c>
      <c r="G4">
        <v>77</v>
      </c>
      <c r="H4" s="10">
        <f t="shared" ref="H4:H8" si="0">(G4/E4)*100</f>
        <v>62.096774193548384</v>
      </c>
      <c r="I4">
        <v>31115</v>
      </c>
      <c r="J4" s="10">
        <f t="shared" ref="J4:J8" si="1">I4/G4</f>
        <v>404.09090909090907</v>
      </c>
    </row>
    <row r="5" spans="1:11" x14ac:dyDescent="0.25">
      <c r="A5" s="1"/>
      <c r="D5" t="s">
        <v>73</v>
      </c>
      <c r="E5">
        <v>84</v>
      </c>
      <c r="F5" s="6">
        <f>(E5/B1)*100</f>
        <v>24.778761061946902</v>
      </c>
      <c r="G5">
        <v>44</v>
      </c>
      <c r="H5" s="10">
        <f t="shared" si="0"/>
        <v>52.380952380952387</v>
      </c>
      <c r="I5">
        <v>15353</v>
      </c>
      <c r="J5" s="10">
        <f t="shared" si="1"/>
        <v>348.93181818181819</v>
      </c>
      <c r="K5" s="7"/>
    </row>
    <row r="6" spans="1:11" x14ac:dyDescent="0.25">
      <c r="A6" s="1"/>
      <c r="B6" s="6"/>
      <c r="C6" s="6"/>
      <c r="D6" t="s">
        <v>74</v>
      </c>
      <c r="E6">
        <v>81</v>
      </c>
      <c r="F6" s="6">
        <f>(E6/B1)*100</f>
        <v>23.893805309734514</v>
      </c>
      <c r="G6">
        <v>47</v>
      </c>
      <c r="H6" s="10">
        <f t="shared" si="0"/>
        <v>58.024691358024697</v>
      </c>
      <c r="I6">
        <v>10195</v>
      </c>
      <c r="J6" s="10">
        <f t="shared" si="1"/>
        <v>216.91489361702128</v>
      </c>
    </row>
    <row r="7" spans="1:11" x14ac:dyDescent="0.25">
      <c r="A7" s="1"/>
      <c r="D7" t="s">
        <v>75</v>
      </c>
      <c r="E7">
        <v>30</v>
      </c>
      <c r="F7" s="6">
        <f>(E7/B1)*100</f>
        <v>8.8495575221238933</v>
      </c>
      <c r="G7">
        <v>13</v>
      </c>
      <c r="H7" s="10">
        <f t="shared" si="0"/>
        <v>43.333333333333336</v>
      </c>
      <c r="I7">
        <v>2319</v>
      </c>
      <c r="J7" s="10">
        <f t="shared" si="1"/>
        <v>178.38461538461539</v>
      </c>
    </row>
    <row r="8" spans="1:11" x14ac:dyDescent="0.25">
      <c r="A8" s="1"/>
      <c r="B8" s="6"/>
      <c r="D8" t="s">
        <v>76</v>
      </c>
      <c r="E8">
        <v>67</v>
      </c>
      <c r="F8" s="6">
        <f>(E8/B1)*100</f>
        <v>19.764011799410032</v>
      </c>
      <c r="G8">
        <v>43</v>
      </c>
      <c r="H8" s="10">
        <f t="shared" si="0"/>
        <v>64.179104477611943</v>
      </c>
      <c r="I8">
        <v>50347</v>
      </c>
      <c r="J8" s="10">
        <f t="shared" si="1"/>
        <v>1170.8604651162791</v>
      </c>
    </row>
    <row r="9" spans="1:11" x14ac:dyDescent="0.25">
      <c r="A9" s="1"/>
      <c r="H9" s="10"/>
      <c r="I9"/>
      <c r="J9" s="10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6487-4447-4AB2-B102-B998B8FAFCE1}">
  <dimension ref="A1:L46"/>
  <sheetViews>
    <sheetView workbookViewId="0">
      <selection activeCell="I9" sqref="I9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2" x14ac:dyDescent="0.25">
      <c r="A1" s="1" t="s">
        <v>65</v>
      </c>
      <c r="B1" s="1">
        <v>354</v>
      </c>
    </row>
    <row r="2" spans="1:12" x14ac:dyDescent="0.25">
      <c r="A2" s="1"/>
    </row>
    <row r="3" spans="1:12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2" x14ac:dyDescent="0.25">
      <c r="A4" s="1"/>
      <c r="B4" s="8"/>
      <c r="C4" s="8"/>
      <c r="D4" t="s">
        <v>72</v>
      </c>
      <c r="E4">
        <v>108</v>
      </c>
      <c r="F4" s="6">
        <f>(E4/B1)*100</f>
        <v>30.508474576271187</v>
      </c>
      <c r="G4">
        <v>64</v>
      </c>
      <c r="H4" s="10">
        <f t="shared" ref="H4:H5" si="0">(G4/E4)*100</f>
        <v>59.259259259259252</v>
      </c>
      <c r="I4">
        <v>25000</v>
      </c>
      <c r="J4" s="10">
        <f t="shared" ref="J4:J8" si="1">I4/G4</f>
        <v>390.625</v>
      </c>
    </row>
    <row r="5" spans="1:12" x14ac:dyDescent="0.25">
      <c r="A5" s="1"/>
      <c r="D5" t="s">
        <v>73</v>
      </c>
      <c r="E5">
        <v>57</v>
      </c>
      <c r="F5" s="6">
        <f>(E5/B1)*100</f>
        <v>16.101694915254235</v>
      </c>
      <c r="G5">
        <v>39</v>
      </c>
      <c r="H5" s="10">
        <f t="shared" si="0"/>
        <v>68.421052631578945</v>
      </c>
      <c r="I5">
        <v>22886</v>
      </c>
      <c r="J5" s="10">
        <f t="shared" si="1"/>
        <v>586.82051282051282</v>
      </c>
      <c r="K5" s="7"/>
      <c r="L5" t="s">
        <v>78</v>
      </c>
    </row>
    <row r="6" spans="1:12" x14ac:dyDescent="0.25">
      <c r="A6" s="1"/>
      <c r="B6" s="6"/>
      <c r="C6" s="6"/>
      <c r="D6" t="s">
        <v>74</v>
      </c>
      <c r="E6">
        <v>60</v>
      </c>
      <c r="F6" s="6">
        <f>(E6/B1)*100</f>
        <v>16.949152542372879</v>
      </c>
      <c r="G6">
        <v>36</v>
      </c>
      <c r="H6" s="10">
        <v>60</v>
      </c>
      <c r="I6">
        <v>11656</v>
      </c>
      <c r="J6" s="10">
        <f t="shared" si="1"/>
        <v>323.77777777777777</v>
      </c>
      <c r="L6" t="s">
        <v>79</v>
      </c>
    </row>
    <row r="7" spans="1:12" x14ac:dyDescent="0.25">
      <c r="A7" s="1"/>
      <c r="D7" t="s">
        <v>75</v>
      </c>
      <c r="E7">
        <v>42</v>
      </c>
      <c r="F7" s="6">
        <f>(E7/B1)*100</f>
        <v>11.864406779661017</v>
      </c>
      <c r="G7">
        <v>21</v>
      </c>
      <c r="H7" s="10">
        <v>54</v>
      </c>
      <c r="I7">
        <v>3907</v>
      </c>
      <c r="J7" s="10">
        <f t="shared" si="1"/>
        <v>186.04761904761904</v>
      </c>
    </row>
    <row r="8" spans="1:12" x14ac:dyDescent="0.25">
      <c r="A8" s="1"/>
      <c r="B8" s="6"/>
      <c r="D8" t="s">
        <v>76</v>
      </c>
      <c r="E8">
        <v>84</v>
      </c>
      <c r="F8" s="6">
        <f>(E8/B1)*100</f>
        <v>23.728813559322035</v>
      </c>
      <c r="G8">
        <v>66</v>
      </c>
      <c r="H8" s="10">
        <v>79</v>
      </c>
      <c r="I8">
        <v>57379</v>
      </c>
      <c r="J8" s="10">
        <f t="shared" si="1"/>
        <v>869.37878787878788</v>
      </c>
    </row>
    <row r="9" spans="1:12" x14ac:dyDescent="0.25">
      <c r="A9" s="1"/>
      <c r="D9" t="s">
        <v>77</v>
      </c>
      <c r="H9" s="10"/>
      <c r="I9"/>
      <c r="J9" s="10"/>
    </row>
    <row r="10" spans="1:12" x14ac:dyDescent="0.25">
      <c r="A10" s="1"/>
      <c r="B10" s="6"/>
    </row>
    <row r="11" spans="1:12" x14ac:dyDescent="0.25">
      <c r="A11" s="1"/>
    </row>
    <row r="12" spans="1:12" x14ac:dyDescent="0.25">
      <c r="A12" s="1"/>
    </row>
    <row r="13" spans="1:12" x14ac:dyDescent="0.25">
      <c r="A13" s="1"/>
      <c r="B13" s="1"/>
      <c r="C13" s="1"/>
    </row>
    <row r="14" spans="1:12" x14ac:dyDescent="0.25">
      <c r="A14" s="1"/>
    </row>
    <row r="15" spans="1:12" x14ac:dyDescent="0.25">
      <c r="A15" s="1"/>
      <c r="B15" s="6"/>
    </row>
    <row r="16" spans="1:12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73A5-D3E3-4999-B484-F06CDCC07A1A}">
  <dimension ref="A1:K46"/>
  <sheetViews>
    <sheetView workbookViewId="0">
      <selection activeCell="H13" sqref="H13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343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t="s">
        <v>72</v>
      </c>
      <c r="E4">
        <v>91</v>
      </c>
      <c r="F4" s="6">
        <f>(E4/B1)*100</f>
        <v>26.530612244897959</v>
      </c>
      <c r="G4">
        <v>54</v>
      </c>
      <c r="H4" s="10">
        <v>57</v>
      </c>
      <c r="I4">
        <v>14308</v>
      </c>
      <c r="J4" s="10">
        <f>I4/G4</f>
        <v>264.96296296296299</v>
      </c>
    </row>
    <row r="5" spans="1:11" x14ac:dyDescent="0.25">
      <c r="A5" s="1"/>
      <c r="D5" t="s">
        <v>73</v>
      </c>
      <c r="E5">
        <v>62</v>
      </c>
      <c r="F5" s="6">
        <f>(E5/B1)*100</f>
        <v>18.075801749271136</v>
      </c>
      <c r="G5">
        <v>38</v>
      </c>
      <c r="H5" s="10">
        <f t="shared" ref="H5:H8" si="0">(G5/E5)*100</f>
        <v>61.29032258064516</v>
      </c>
      <c r="I5">
        <v>41399</v>
      </c>
      <c r="J5" s="10">
        <f t="shared" ref="J5:J8" si="1">I5/G5</f>
        <v>1089.4473684210527</v>
      </c>
      <c r="K5" s="7"/>
    </row>
    <row r="6" spans="1:11" x14ac:dyDescent="0.25">
      <c r="A6" s="1"/>
      <c r="B6" s="6"/>
      <c r="C6" s="6"/>
      <c r="D6" t="s">
        <v>74</v>
      </c>
      <c r="E6">
        <v>73</v>
      </c>
      <c r="F6" s="6">
        <f>(E6/B1)*100</f>
        <v>21.282798833819243</v>
      </c>
      <c r="G6">
        <v>50</v>
      </c>
      <c r="H6" s="10">
        <f t="shared" si="0"/>
        <v>68.493150684931507</v>
      </c>
      <c r="I6">
        <v>16682</v>
      </c>
      <c r="J6" s="10">
        <f t="shared" si="1"/>
        <v>333.64</v>
      </c>
    </row>
    <row r="7" spans="1:11" x14ac:dyDescent="0.25">
      <c r="A7" s="1"/>
      <c r="D7" t="s">
        <v>75</v>
      </c>
      <c r="E7">
        <v>29</v>
      </c>
      <c r="F7" s="6">
        <f>(E7/B1)*100</f>
        <v>8.4548104956268215</v>
      </c>
      <c r="G7">
        <v>19</v>
      </c>
      <c r="H7" s="10">
        <f t="shared" si="0"/>
        <v>65.517241379310349</v>
      </c>
      <c r="I7">
        <v>4514</v>
      </c>
      <c r="J7" s="10">
        <f t="shared" si="1"/>
        <v>237.57894736842104</v>
      </c>
    </row>
    <row r="8" spans="1:11" x14ac:dyDescent="0.25">
      <c r="A8" s="1"/>
      <c r="B8" s="6"/>
      <c r="D8" t="s">
        <v>76</v>
      </c>
      <c r="E8">
        <v>66</v>
      </c>
      <c r="F8" s="6">
        <f>(E8/B1)*100</f>
        <v>19.241982507288629</v>
      </c>
      <c r="G8">
        <v>48</v>
      </c>
      <c r="H8" s="10">
        <f t="shared" si="0"/>
        <v>72.727272727272734</v>
      </c>
      <c r="I8">
        <v>41025</v>
      </c>
      <c r="J8" s="10">
        <f t="shared" si="1"/>
        <v>854.6875</v>
      </c>
    </row>
    <row r="9" spans="1:11" x14ac:dyDescent="0.25">
      <c r="A9" s="1"/>
      <c r="D9" t="s">
        <v>77</v>
      </c>
      <c r="E9" s="7">
        <v>347</v>
      </c>
      <c r="H9" s="10"/>
      <c r="I9"/>
      <c r="J9" s="10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2F5B-C01D-4AAC-AA78-A05D01E5E4E2}">
  <dimension ref="A1:K46"/>
  <sheetViews>
    <sheetView workbookViewId="0">
      <selection activeCell="I7" sqref="I7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399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t="s">
        <v>72</v>
      </c>
      <c r="E4">
        <v>108</v>
      </c>
      <c r="F4" s="6">
        <f>(E4/B1)*100</f>
        <v>27.06766917293233</v>
      </c>
      <c r="G4">
        <v>64</v>
      </c>
      <c r="H4" s="10">
        <f>(G4/E4)*100</f>
        <v>59.259259259259252</v>
      </c>
      <c r="I4">
        <v>22931</v>
      </c>
      <c r="J4" s="10">
        <f>I4/G4</f>
        <v>358.296875</v>
      </c>
    </row>
    <row r="5" spans="1:11" x14ac:dyDescent="0.25">
      <c r="A5" s="1"/>
      <c r="D5" t="s">
        <v>73</v>
      </c>
      <c r="E5">
        <v>65</v>
      </c>
      <c r="F5" s="6">
        <f>(E5/B1)*100</f>
        <v>16.290726817042607</v>
      </c>
      <c r="G5">
        <v>40</v>
      </c>
      <c r="H5" s="10">
        <f t="shared" ref="H5:H8" si="0">(G5/E5)*100</f>
        <v>61.53846153846154</v>
      </c>
      <c r="I5">
        <v>17890</v>
      </c>
      <c r="J5" s="10">
        <f t="shared" ref="J5:J8" si="1">I5/G5</f>
        <v>447.25</v>
      </c>
      <c r="K5" s="7"/>
    </row>
    <row r="6" spans="1:11" x14ac:dyDescent="0.25">
      <c r="A6" s="1"/>
      <c r="B6" s="6"/>
      <c r="C6" s="6"/>
      <c r="D6" t="s">
        <v>74</v>
      </c>
      <c r="E6">
        <v>84</v>
      </c>
      <c r="F6" s="6">
        <f>(E6/B1)*100</f>
        <v>21.052631578947366</v>
      </c>
      <c r="G6">
        <v>44</v>
      </c>
      <c r="H6" s="10">
        <f t="shared" si="0"/>
        <v>52.380952380952387</v>
      </c>
      <c r="I6">
        <v>11927</v>
      </c>
      <c r="J6" s="10">
        <f t="shared" si="1"/>
        <v>271.06818181818181</v>
      </c>
    </row>
    <row r="7" spans="1:11" x14ac:dyDescent="0.25">
      <c r="A7" s="1"/>
      <c r="D7" t="s">
        <v>75</v>
      </c>
      <c r="E7">
        <v>17</v>
      </c>
      <c r="F7" s="6">
        <f>(E7/B1)*100</f>
        <v>4.2606516290726812</v>
      </c>
      <c r="G7">
        <v>6</v>
      </c>
      <c r="H7" s="10">
        <f t="shared" si="0"/>
        <v>35.294117647058826</v>
      </c>
      <c r="I7">
        <v>4413</v>
      </c>
      <c r="J7" s="10">
        <f t="shared" si="1"/>
        <v>735.5</v>
      </c>
    </row>
    <row r="8" spans="1:11" x14ac:dyDescent="0.25">
      <c r="A8" s="1"/>
      <c r="B8" s="6"/>
      <c r="D8" t="s">
        <v>76</v>
      </c>
      <c r="E8">
        <v>88</v>
      </c>
      <c r="F8" s="6">
        <f>(E8/B1)*100</f>
        <v>22.055137844611529</v>
      </c>
      <c r="G8">
        <v>71</v>
      </c>
      <c r="H8" s="10">
        <f t="shared" si="0"/>
        <v>80.681818181818173</v>
      </c>
      <c r="I8">
        <v>40918</v>
      </c>
      <c r="J8" s="10">
        <f t="shared" si="1"/>
        <v>576.30985915492954</v>
      </c>
    </row>
    <row r="9" spans="1:11" x14ac:dyDescent="0.25">
      <c r="A9" s="1"/>
      <c r="D9" t="s">
        <v>77</v>
      </c>
      <c r="H9" s="10"/>
      <c r="I9"/>
      <c r="J9" s="10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7199-C775-440B-92D4-63F2D1C4FF08}">
  <dimension ref="A1:K46"/>
  <sheetViews>
    <sheetView workbookViewId="0">
      <selection activeCell="I6" sqref="I6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336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90</v>
      </c>
      <c r="F4" s="6">
        <f>SUM(E4/B1)*100</f>
        <v>26.785714285714285</v>
      </c>
      <c r="G4">
        <v>50</v>
      </c>
      <c r="H4" s="10">
        <f>(G4/E4)*100</f>
        <v>55.555555555555557</v>
      </c>
      <c r="I4">
        <v>29838</v>
      </c>
      <c r="J4" s="10">
        <f>I4/G4</f>
        <v>596.76</v>
      </c>
    </row>
    <row r="5" spans="1:11" x14ac:dyDescent="0.25">
      <c r="A5" s="1"/>
      <c r="D5" s="1" t="s">
        <v>73</v>
      </c>
      <c r="E5">
        <v>81</v>
      </c>
      <c r="F5" s="6">
        <f>SUM(E5/B1)*100</f>
        <v>24.107142857142858</v>
      </c>
      <c r="G5">
        <v>36</v>
      </c>
      <c r="H5" s="10">
        <f t="shared" ref="H5:H8" si="0">(G5/E5)*100</f>
        <v>44.444444444444443</v>
      </c>
      <c r="I5">
        <v>19771</v>
      </c>
      <c r="J5" s="10">
        <f t="shared" ref="J5:J8" si="1">I5/G5</f>
        <v>549.19444444444446</v>
      </c>
      <c r="K5" s="7"/>
    </row>
    <row r="6" spans="1:11" x14ac:dyDescent="0.25">
      <c r="A6" s="1"/>
      <c r="B6" s="6"/>
      <c r="C6" s="6"/>
      <c r="D6" s="1" t="s">
        <v>74</v>
      </c>
      <c r="E6">
        <v>82</v>
      </c>
      <c r="F6" s="6">
        <f>SUM(E6/B1)*100</f>
        <v>24.404761904761905</v>
      </c>
      <c r="G6">
        <v>43</v>
      </c>
      <c r="H6" s="10">
        <f t="shared" si="0"/>
        <v>52.439024390243901</v>
      </c>
      <c r="I6">
        <v>18213</v>
      </c>
      <c r="J6" s="10">
        <f t="shared" si="1"/>
        <v>423.55813953488371</v>
      </c>
    </row>
    <row r="7" spans="1:11" x14ac:dyDescent="0.25">
      <c r="A7" s="1"/>
      <c r="D7" s="1" t="s">
        <v>75</v>
      </c>
      <c r="E7">
        <v>9</v>
      </c>
      <c r="F7" s="6">
        <f>SUM(E7/B1)*100</f>
        <v>2.6785714285714284</v>
      </c>
      <c r="G7">
        <v>7</v>
      </c>
      <c r="H7" s="10">
        <f t="shared" si="0"/>
        <v>77.777777777777786</v>
      </c>
      <c r="I7">
        <v>5148</v>
      </c>
      <c r="J7" s="10">
        <f t="shared" si="1"/>
        <v>735.42857142857144</v>
      </c>
    </row>
    <row r="8" spans="1:11" x14ac:dyDescent="0.25">
      <c r="A8" s="1"/>
      <c r="B8" s="6"/>
      <c r="D8" s="1" t="s">
        <v>76</v>
      </c>
      <c r="E8">
        <v>54</v>
      </c>
      <c r="F8" s="6">
        <f>SUM(E8/B1)*100</f>
        <v>16.071428571428573</v>
      </c>
      <c r="G8">
        <v>41</v>
      </c>
      <c r="H8" s="10">
        <f t="shared" si="0"/>
        <v>75.925925925925924</v>
      </c>
      <c r="I8">
        <v>56038</v>
      </c>
      <c r="J8" s="10">
        <f t="shared" si="1"/>
        <v>1366.780487804878</v>
      </c>
    </row>
    <row r="9" spans="1:11" x14ac:dyDescent="0.25">
      <c r="A9" s="1"/>
      <c r="D9" s="1" t="s">
        <v>77</v>
      </c>
      <c r="H9" s="10"/>
      <c r="I9"/>
      <c r="J9" s="10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22D7-5D87-4DDC-9726-B1DB65D86ACF}">
  <dimension ref="A1:K46"/>
  <sheetViews>
    <sheetView workbookViewId="0">
      <selection activeCell="F7" sqref="F7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333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88</v>
      </c>
      <c r="F4" s="6">
        <f>SUM(E4/B1)*100</f>
        <v>26.426426426426424</v>
      </c>
      <c r="G4">
        <v>53</v>
      </c>
      <c r="H4" s="10">
        <f>(G4/E4)*100</f>
        <v>60.227272727272727</v>
      </c>
      <c r="I4">
        <v>34036</v>
      </c>
      <c r="J4" s="10">
        <f>I4/G4</f>
        <v>642.18867924528297</v>
      </c>
    </row>
    <row r="5" spans="1:11" x14ac:dyDescent="0.25">
      <c r="A5" s="1"/>
      <c r="D5" s="1" t="s">
        <v>73</v>
      </c>
      <c r="E5">
        <v>74</v>
      </c>
      <c r="F5" s="6">
        <f>SUM(E5/B1)*100</f>
        <v>22.222222222222221</v>
      </c>
      <c r="G5">
        <v>35</v>
      </c>
      <c r="H5" s="10">
        <f t="shared" ref="H5:H6" si="0">(G5/E5)*100</f>
        <v>47.297297297297298</v>
      </c>
      <c r="I5">
        <v>35615</v>
      </c>
      <c r="J5" s="10">
        <f t="shared" ref="J5:J6" si="1">I5/G5</f>
        <v>1017.5714285714286</v>
      </c>
      <c r="K5" s="7"/>
    </row>
    <row r="6" spans="1:11" x14ac:dyDescent="0.25">
      <c r="A6" s="1"/>
      <c r="B6" s="6"/>
      <c r="C6" s="6"/>
      <c r="D6" s="1" t="s">
        <v>74</v>
      </c>
      <c r="E6">
        <v>67</v>
      </c>
      <c r="F6" s="6">
        <f>SUM(E6/B1)*100</f>
        <v>20.12012012012012</v>
      </c>
      <c r="G6">
        <v>38</v>
      </c>
      <c r="H6" s="10">
        <f t="shared" si="0"/>
        <v>56.71641791044776</v>
      </c>
      <c r="I6">
        <v>19589</v>
      </c>
      <c r="J6" s="10">
        <f t="shared" si="1"/>
        <v>515.5</v>
      </c>
    </row>
    <row r="7" spans="1:11" x14ac:dyDescent="0.25">
      <c r="A7" s="1"/>
      <c r="D7" s="1" t="s">
        <v>76</v>
      </c>
      <c r="E7">
        <v>82</v>
      </c>
      <c r="F7" s="6">
        <f>SUM(E7/B1)*100</f>
        <v>24.624624624624623</v>
      </c>
      <c r="G7">
        <v>56</v>
      </c>
      <c r="H7" s="10">
        <f>(G7/E7)*100</f>
        <v>68.292682926829272</v>
      </c>
      <c r="I7">
        <v>45800</v>
      </c>
      <c r="J7" s="10">
        <f>I7/G7</f>
        <v>817.85714285714289</v>
      </c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73E9-3701-455D-AB1F-53632AFC03C1}">
  <dimension ref="A1:K46"/>
  <sheetViews>
    <sheetView workbookViewId="0">
      <selection activeCell="F4" sqref="F4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278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84</v>
      </c>
      <c r="F4" s="6">
        <f>SUM(E4/B1)*100</f>
        <v>30.215827338129497</v>
      </c>
      <c r="G4">
        <v>52</v>
      </c>
      <c r="H4" s="10">
        <v>62</v>
      </c>
      <c r="I4">
        <v>32288</v>
      </c>
      <c r="J4" s="10"/>
    </row>
    <row r="5" spans="1:11" x14ac:dyDescent="0.25">
      <c r="A5" s="1"/>
      <c r="D5" s="1" t="s">
        <v>73</v>
      </c>
      <c r="E5">
        <v>67</v>
      </c>
      <c r="F5" s="6">
        <f>SUM(E5/B1)*100</f>
        <v>24.100719424460433</v>
      </c>
      <c r="G5">
        <v>26</v>
      </c>
      <c r="H5" s="10">
        <v>39</v>
      </c>
      <c r="I5">
        <v>19878</v>
      </c>
      <c r="J5" s="10"/>
      <c r="K5" s="7"/>
    </row>
    <row r="6" spans="1:11" x14ac:dyDescent="0.25">
      <c r="A6" s="1"/>
      <c r="B6" s="6"/>
      <c r="C6" s="6"/>
      <c r="D6" s="1" t="s">
        <v>74</v>
      </c>
      <c r="E6">
        <v>56</v>
      </c>
      <c r="F6" s="6">
        <f>SUM(E6/B1)*100</f>
        <v>20.14388489208633</v>
      </c>
      <c r="G6">
        <v>25</v>
      </c>
      <c r="H6" s="10">
        <v>45</v>
      </c>
      <c r="I6">
        <v>15370</v>
      </c>
      <c r="J6" s="10"/>
    </row>
    <row r="7" spans="1:11" x14ac:dyDescent="0.25">
      <c r="A7" s="1"/>
      <c r="D7" s="1" t="s">
        <v>76</v>
      </c>
      <c r="E7">
        <v>59</v>
      </c>
      <c r="F7" s="6">
        <f>SUM(E7/B1)*100</f>
        <v>21.223021582733814</v>
      </c>
      <c r="G7">
        <v>43</v>
      </c>
      <c r="H7" s="10">
        <v>73</v>
      </c>
      <c r="I7">
        <v>53663</v>
      </c>
      <c r="J7" s="10"/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041A-9777-417C-8BB8-D842539B7248}">
  <dimension ref="A1:K46"/>
  <sheetViews>
    <sheetView workbookViewId="0">
      <selection activeCell="G11" sqref="G11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350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100</v>
      </c>
      <c r="F4" s="6">
        <f>SUM(E4/B1)*100</f>
        <v>28.571428571428569</v>
      </c>
      <c r="G4">
        <v>65</v>
      </c>
      <c r="H4" s="10">
        <v>65</v>
      </c>
      <c r="I4">
        <v>41321</v>
      </c>
      <c r="J4" s="10"/>
    </row>
    <row r="5" spans="1:11" x14ac:dyDescent="0.25">
      <c r="A5" s="1"/>
      <c r="D5" s="1" t="s">
        <v>73</v>
      </c>
      <c r="E5">
        <v>87</v>
      </c>
      <c r="F5" s="6">
        <f>SUM(E5/B1)*100</f>
        <v>24.857142857142858</v>
      </c>
      <c r="G5">
        <v>49</v>
      </c>
      <c r="H5" s="10">
        <v>56</v>
      </c>
      <c r="I5">
        <v>40538</v>
      </c>
      <c r="J5" s="10"/>
      <c r="K5" s="7"/>
    </row>
    <row r="6" spans="1:11" x14ac:dyDescent="0.25">
      <c r="A6" s="1"/>
      <c r="B6" s="6"/>
      <c r="C6" s="6"/>
      <c r="D6" s="1" t="s">
        <v>74</v>
      </c>
      <c r="E6">
        <v>73</v>
      </c>
      <c r="F6" s="6">
        <f>SUM(E6/B1)*100</f>
        <v>20.857142857142858</v>
      </c>
      <c r="G6">
        <v>35</v>
      </c>
      <c r="H6" s="10">
        <v>48</v>
      </c>
      <c r="I6">
        <v>13291</v>
      </c>
      <c r="J6" s="10"/>
    </row>
    <row r="7" spans="1:11" x14ac:dyDescent="0.25">
      <c r="A7" s="1"/>
      <c r="D7" s="1" t="s">
        <v>76</v>
      </c>
      <c r="E7">
        <v>74</v>
      </c>
      <c r="F7" s="6">
        <f>SUM(E7/B1)*100</f>
        <v>21.142857142857142</v>
      </c>
      <c r="G7">
        <v>57</v>
      </c>
      <c r="H7" s="10">
        <v>77</v>
      </c>
      <c r="I7">
        <v>53317</v>
      </c>
      <c r="J7" s="10"/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272B-BC0B-4A45-8606-5BDE5BE524A0}">
  <dimension ref="A1:K46"/>
  <sheetViews>
    <sheetView workbookViewId="0">
      <selection activeCell="F4" sqref="F4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304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93</v>
      </c>
      <c r="F4" s="6">
        <f>SUM(E4/B1)*100</f>
        <v>30.592105263157894</v>
      </c>
      <c r="G4">
        <v>58</v>
      </c>
      <c r="H4" s="10">
        <v>62</v>
      </c>
      <c r="I4">
        <v>39865</v>
      </c>
      <c r="J4" s="10"/>
    </row>
    <row r="5" spans="1:11" x14ac:dyDescent="0.25">
      <c r="A5" s="1"/>
      <c r="D5" s="1" t="s">
        <v>73</v>
      </c>
      <c r="E5">
        <v>60</v>
      </c>
      <c r="F5" s="6">
        <f>SUM(E5/B1)*100</f>
        <v>19.736842105263158</v>
      </c>
      <c r="G5">
        <v>23</v>
      </c>
      <c r="H5" s="10">
        <v>38</v>
      </c>
      <c r="I5">
        <v>21388</v>
      </c>
      <c r="J5" s="10"/>
      <c r="K5" s="7"/>
    </row>
    <row r="6" spans="1:11" x14ac:dyDescent="0.25">
      <c r="A6" s="1"/>
      <c r="B6" s="6"/>
      <c r="C6" s="6"/>
      <c r="D6" s="1" t="s">
        <v>74</v>
      </c>
      <c r="E6">
        <v>63</v>
      </c>
      <c r="F6" s="6">
        <f>SUM(E6/B1)*100</f>
        <v>20.723684210526315</v>
      </c>
      <c r="G6">
        <v>29</v>
      </c>
      <c r="H6" s="10">
        <v>46</v>
      </c>
      <c r="I6">
        <v>14655</v>
      </c>
      <c r="J6" s="10"/>
    </row>
    <row r="7" spans="1:11" x14ac:dyDescent="0.25">
      <c r="A7" s="1"/>
      <c r="D7" s="1" t="s">
        <v>76</v>
      </c>
      <c r="E7">
        <v>82</v>
      </c>
      <c r="F7" s="6">
        <f>SUM(E7/B1)*100</f>
        <v>26.973684210526315</v>
      </c>
      <c r="G7">
        <v>60</v>
      </c>
      <c r="H7" s="10">
        <v>73.2</v>
      </c>
      <c r="I7">
        <v>106932</v>
      </c>
      <c r="J7" s="10"/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EDF4-1BD2-4B10-85FD-C74280FF8B3A}">
  <dimension ref="A1:K46"/>
  <sheetViews>
    <sheetView workbookViewId="0">
      <selection activeCell="F4" sqref="F4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286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105</v>
      </c>
      <c r="F4" s="6">
        <f>SUM(E4/B1)*100</f>
        <v>36.713286713286713</v>
      </c>
      <c r="G4">
        <v>62</v>
      </c>
      <c r="H4" s="10">
        <v>59</v>
      </c>
      <c r="I4">
        <v>28948</v>
      </c>
      <c r="J4" s="10"/>
    </row>
    <row r="5" spans="1:11" x14ac:dyDescent="0.25">
      <c r="A5" s="1"/>
      <c r="D5" s="1" t="s">
        <v>73</v>
      </c>
      <c r="E5">
        <v>50</v>
      </c>
      <c r="F5" s="6">
        <f>SUM(E5/B1)*100</f>
        <v>17.482517482517483</v>
      </c>
      <c r="G5">
        <v>29</v>
      </c>
      <c r="H5" s="10">
        <v>58</v>
      </c>
      <c r="I5">
        <v>31799</v>
      </c>
      <c r="J5" s="10"/>
      <c r="K5" s="7"/>
    </row>
    <row r="6" spans="1:11" x14ac:dyDescent="0.25">
      <c r="A6" s="1"/>
      <c r="B6" s="6"/>
      <c r="C6" s="6"/>
      <c r="D6" s="1" t="s">
        <v>74</v>
      </c>
      <c r="E6">
        <v>63</v>
      </c>
      <c r="F6" s="6">
        <f>SUM(E6/B1)*100</f>
        <v>22.02797202797203</v>
      </c>
      <c r="G6">
        <v>28</v>
      </c>
      <c r="H6" s="10">
        <v>44.4</v>
      </c>
      <c r="I6">
        <v>11824</v>
      </c>
      <c r="J6" s="10"/>
    </row>
    <row r="7" spans="1:11" x14ac:dyDescent="0.25">
      <c r="A7" s="1"/>
      <c r="D7" s="1" t="s">
        <v>76</v>
      </c>
      <c r="E7">
        <v>52</v>
      </c>
      <c r="F7" s="6">
        <f>SUM(E7/B1)*100</f>
        <v>18.181818181818183</v>
      </c>
      <c r="G7">
        <v>35</v>
      </c>
      <c r="H7" s="10">
        <v>67</v>
      </c>
      <c r="I7">
        <v>64575</v>
      </c>
      <c r="J7" s="10"/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9679-19F8-4A7C-ADAF-2DFE74289A38}">
  <dimension ref="A1:K46"/>
  <sheetViews>
    <sheetView workbookViewId="0">
      <selection activeCell="I14" sqref="I14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140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72</v>
      </c>
      <c r="E4">
        <v>40</v>
      </c>
      <c r="F4" s="6">
        <f>SUM(E4/B1)*100</f>
        <v>28.571428571428569</v>
      </c>
      <c r="G4">
        <v>20</v>
      </c>
      <c r="H4" s="10">
        <v>50</v>
      </c>
      <c r="I4"/>
      <c r="J4" s="10"/>
    </row>
    <row r="5" spans="1:11" x14ac:dyDescent="0.25">
      <c r="A5" s="1"/>
      <c r="D5" s="1" t="s">
        <v>73</v>
      </c>
      <c r="E5">
        <v>28</v>
      </c>
      <c r="F5" s="6">
        <f>SUM(E5/B1)*100</f>
        <v>20</v>
      </c>
      <c r="G5">
        <v>16</v>
      </c>
      <c r="H5" s="10">
        <v>57.1</v>
      </c>
      <c r="I5"/>
      <c r="J5" s="10"/>
      <c r="K5" s="7"/>
    </row>
    <row r="6" spans="1:11" x14ac:dyDescent="0.25">
      <c r="A6" s="1"/>
      <c r="B6" s="6"/>
      <c r="C6" s="6"/>
      <c r="D6" s="1" t="s">
        <v>74</v>
      </c>
      <c r="E6">
        <v>33</v>
      </c>
      <c r="F6" s="6">
        <f>SUM(E6/B1)*100</f>
        <v>23.571428571428569</v>
      </c>
      <c r="G6">
        <v>12</v>
      </c>
      <c r="H6" s="10">
        <v>36.4</v>
      </c>
      <c r="I6"/>
      <c r="J6" s="10"/>
    </row>
    <row r="7" spans="1:11" x14ac:dyDescent="0.25">
      <c r="A7" s="1"/>
      <c r="D7" s="1" t="s">
        <v>76</v>
      </c>
      <c r="E7">
        <v>25</v>
      </c>
      <c r="F7" s="6">
        <f>SUM(E7/B1)*100</f>
        <v>17.857142857142858</v>
      </c>
      <c r="G7">
        <v>15</v>
      </c>
      <c r="H7" s="10">
        <v>60</v>
      </c>
      <c r="I7"/>
      <c r="J7" s="10"/>
    </row>
    <row r="8" spans="1:11" x14ac:dyDescent="0.25">
      <c r="A8" s="1"/>
      <c r="B8" s="6"/>
      <c r="D8" s="1" t="s">
        <v>77</v>
      </c>
      <c r="H8" s="10"/>
      <c r="I8"/>
      <c r="J8" s="10"/>
    </row>
    <row r="9" spans="1:11" x14ac:dyDescent="0.25">
      <c r="A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05A5-2892-4763-86C1-BD7CD9AC67C5}">
  <dimension ref="A3:P15"/>
  <sheetViews>
    <sheetView workbookViewId="0">
      <selection activeCell="K14" sqref="K14"/>
    </sheetView>
  </sheetViews>
  <sheetFormatPr defaultRowHeight="15" x14ac:dyDescent="0.25"/>
  <cols>
    <col min="1" max="4" width="20.28515625" customWidth="1"/>
    <col min="5" max="10" width="17.28515625" customWidth="1"/>
    <col min="11" max="11" width="20.42578125" customWidth="1"/>
    <col min="12" max="12" width="18.85546875" customWidth="1"/>
    <col min="13" max="13" width="17.42578125" customWidth="1"/>
    <col min="15" max="15" width="22.42578125" customWidth="1"/>
  </cols>
  <sheetData>
    <row r="3" spans="1:16" x14ac:dyDescent="0.25">
      <c r="A3" s="1" t="s">
        <v>80</v>
      </c>
      <c r="B3" s="1" t="s">
        <v>81</v>
      </c>
      <c r="C3" s="1" t="s">
        <v>82</v>
      </c>
      <c r="D3" s="19" t="s">
        <v>83</v>
      </c>
      <c r="E3" s="1" t="s">
        <v>84</v>
      </c>
      <c r="F3" s="1" t="s">
        <v>85</v>
      </c>
      <c r="G3" s="19" t="s">
        <v>86</v>
      </c>
      <c r="H3" s="1" t="s">
        <v>87</v>
      </c>
      <c r="I3" s="1" t="s">
        <v>88</v>
      </c>
      <c r="J3" s="19" t="s">
        <v>89</v>
      </c>
      <c r="K3" s="1" t="s">
        <v>90</v>
      </c>
      <c r="L3" s="1" t="s">
        <v>91</v>
      </c>
      <c r="M3" s="19" t="s">
        <v>92</v>
      </c>
      <c r="O3" s="1" t="s">
        <v>93</v>
      </c>
    </row>
    <row r="4" spans="1:16" x14ac:dyDescent="0.25">
      <c r="A4" s="1" t="s">
        <v>94</v>
      </c>
      <c r="B4">
        <v>84</v>
      </c>
      <c r="C4">
        <v>36</v>
      </c>
      <c r="D4" s="17">
        <f>(C4/B4)*100</f>
        <v>42.857142857142854</v>
      </c>
      <c r="E4">
        <v>69</v>
      </c>
      <c r="F4">
        <v>27</v>
      </c>
      <c r="G4" s="17">
        <f>(F4/E4)*100</f>
        <v>39.130434782608695</v>
      </c>
      <c r="H4">
        <v>103</v>
      </c>
      <c r="I4">
        <v>48</v>
      </c>
      <c r="J4" s="17">
        <f>(I4/H4)*100</f>
        <v>46.601941747572816</v>
      </c>
      <c r="K4">
        <v>74</v>
      </c>
      <c r="L4">
        <v>28</v>
      </c>
      <c r="M4">
        <v>37.799999999999997</v>
      </c>
      <c r="O4">
        <v>22</v>
      </c>
      <c r="P4" s="5">
        <f>SUM(B4:B15)/12</f>
        <v>95.333333333333329</v>
      </c>
    </row>
    <row r="5" spans="1:16" x14ac:dyDescent="0.25">
      <c r="A5" s="1" t="s">
        <v>95</v>
      </c>
      <c r="B5">
        <v>87</v>
      </c>
      <c r="C5">
        <v>46</v>
      </c>
      <c r="D5" s="17">
        <f t="shared" ref="D5:D15" si="0">(C5/B5)*100</f>
        <v>52.873563218390807</v>
      </c>
      <c r="E5">
        <v>91</v>
      </c>
      <c r="F5">
        <v>34</v>
      </c>
      <c r="G5" s="17">
        <f t="shared" ref="G5:G15" si="1">(F5/E5)*100</f>
        <v>37.362637362637365</v>
      </c>
      <c r="H5">
        <v>116</v>
      </c>
      <c r="I5">
        <v>44</v>
      </c>
      <c r="J5" s="17">
        <f t="shared" ref="J5:J14" si="2">(I5/H5)*100</f>
        <v>37.931034482758619</v>
      </c>
      <c r="K5">
        <v>80</v>
      </c>
      <c r="L5">
        <v>34</v>
      </c>
      <c r="M5">
        <v>42.5</v>
      </c>
      <c r="O5">
        <v>23</v>
      </c>
      <c r="P5" s="5">
        <f>SUM(E4:E15)/12</f>
        <v>91.166666666666671</v>
      </c>
    </row>
    <row r="6" spans="1:16" x14ac:dyDescent="0.25">
      <c r="A6" s="1" t="s">
        <v>96</v>
      </c>
      <c r="B6">
        <v>103</v>
      </c>
      <c r="C6">
        <v>51</v>
      </c>
      <c r="D6" s="17">
        <f t="shared" si="0"/>
        <v>49.514563106796118</v>
      </c>
      <c r="E6">
        <v>116</v>
      </c>
      <c r="F6">
        <v>45</v>
      </c>
      <c r="G6" s="17">
        <f t="shared" si="1"/>
        <v>38.793103448275865</v>
      </c>
      <c r="H6">
        <v>107</v>
      </c>
      <c r="I6">
        <v>46</v>
      </c>
      <c r="J6" s="17">
        <f t="shared" si="2"/>
        <v>42.990654205607477</v>
      </c>
      <c r="K6">
        <v>79</v>
      </c>
      <c r="L6">
        <v>21</v>
      </c>
      <c r="M6">
        <v>26.6</v>
      </c>
      <c r="O6">
        <v>24</v>
      </c>
      <c r="P6" s="5">
        <f>SUM(H4:H15)/12</f>
        <v>88.333333333333329</v>
      </c>
    </row>
    <row r="7" spans="1:16" x14ac:dyDescent="0.25">
      <c r="A7" s="1" t="s">
        <v>97</v>
      </c>
      <c r="B7">
        <v>75</v>
      </c>
      <c r="C7">
        <v>43</v>
      </c>
      <c r="D7" s="17">
        <f t="shared" si="0"/>
        <v>57.333333333333336</v>
      </c>
      <c r="E7">
        <v>91</v>
      </c>
      <c r="F7">
        <v>31</v>
      </c>
      <c r="G7" s="17">
        <f t="shared" si="1"/>
        <v>34.065934065934066</v>
      </c>
      <c r="H7">
        <v>83</v>
      </c>
      <c r="I7">
        <v>34</v>
      </c>
      <c r="J7" s="17">
        <f t="shared" si="2"/>
        <v>40.963855421686745</v>
      </c>
      <c r="K7">
        <v>81</v>
      </c>
      <c r="L7">
        <v>34</v>
      </c>
      <c r="M7">
        <v>42</v>
      </c>
      <c r="O7">
        <v>25</v>
      </c>
      <c r="P7" s="5">
        <f>SUM(K4:K8)/5</f>
        <v>80.2</v>
      </c>
    </row>
    <row r="8" spans="1:16" x14ac:dyDescent="0.25">
      <c r="A8" s="1" t="s">
        <v>98</v>
      </c>
      <c r="B8">
        <v>93</v>
      </c>
      <c r="C8">
        <v>53</v>
      </c>
      <c r="D8" s="17">
        <f t="shared" si="0"/>
        <v>56.98924731182796</v>
      </c>
      <c r="E8">
        <v>113</v>
      </c>
      <c r="F8">
        <v>30</v>
      </c>
      <c r="G8" s="17">
        <f t="shared" si="1"/>
        <v>26.548672566371685</v>
      </c>
      <c r="H8">
        <v>98</v>
      </c>
      <c r="I8">
        <v>35</v>
      </c>
      <c r="J8" s="17">
        <f t="shared" si="2"/>
        <v>35.714285714285715</v>
      </c>
      <c r="K8">
        <v>87</v>
      </c>
      <c r="L8">
        <v>32</v>
      </c>
      <c r="M8">
        <v>36.799999999999997</v>
      </c>
    </row>
    <row r="9" spans="1:16" x14ac:dyDescent="0.25">
      <c r="A9" s="1" t="s">
        <v>99</v>
      </c>
      <c r="B9">
        <v>94</v>
      </c>
      <c r="C9">
        <v>49</v>
      </c>
      <c r="D9" s="17">
        <f t="shared" si="0"/>
        <v>52.12765957446809</v>
      </c>
      <c r="E9">
        <v>81</v>
      </c>
      <c r="F9">
        <v>23</v>
      </c>
      <c r="G9" s="17">
        <f t="shared" si="1"/>
        <v>28.39506172839506</v>
      </c>
      <c r="H9">
        <v>108</v>
      </c>
      <c r="I9">
        <v>29</v>
      </c>
      <c r="J9" s="17">
        <f t="shared" si="2"/>
        <v>26.851851851851855</v>
      </c>
      <c r="K9">
        <v>49</v>
      </c>
      <c r="L9">
        <v>24</v>
      </c>
      <c r="M9">
        <v>49</v>
      </c>
      <c r="O9" s="1" t="s">
        <v>100</v>
      </c>
    </row>
    <row r="10" spans="1:16" x14ac:dyDescent="0.25">
      <c r="A10" s="1" t="s">
        <v>101</v>
      </c>
      <c r="B10">
        <v>102</v>
      </c>
      <c r="C10">
        <v>50</v>
      </c>
      <c r="D10" s="17">
        <f t="shared" si="0"/>
        <v>49.019607843137251</v>
      </c>
      <c r="E10">
        <v>105</v>
      </c>
      <c r="F10">
        <v>40</v>
      </c>
      <c r="G10" s="17">
        <f t="shared" si="1"/>
        <v>38.095238095238095</v>
      </c>
      <c r="H10">
        <v>100</v>
      </c>
      <c r="I10">
        <v>37</v>
      </c>
      <c r="J10" s="17">
        <f t="shared" si="2"/>
        <v>37</v>
      </c>
      <c r="K10">
        <v>67</v>
      </c>
      <c r="L10">
        <v>23</v>
      </c>
      <c r="M10">
        <v>34.299999999999997</v>
      </c>
    </row>
    <row r="11" spans="1:16" x14ac:dyDescent="0.25">
      <c r="A11" s="1" t="s">
        <v>102</v>
      </c>
      <c r="B11">
        <v>101</v>
      </c>
      <c r="C11">
        <v>41</v>
      </c>
      <c r="D11" s="17">
        <f t="shared" si="0"/>
        <v>40.594059405940598</v>
      </c>
      <c r="E11">
        <v>106</v>
      </c>
      <c r="F11">
        <v>44</v>
      </c>
      <c r="G11" s="17">
        <f t="shared" si="1"/>
        <v>41.509433962264154</v>
      </c>
      <c r="H11">
        <v>87</v>
      </c>
      <c r="I11">
        <v>28</v>
      </c>
      <c r="J11" s="17">
        <f t="shared" si="2"/>
        <v>32.183908045977013</v>
      </c>
      <c r="K11">
        <v>79</v>
      </c>
      <c r="L11">
        <v>41</v>
      </c>
      <c r="M11">
        <v>51.9</v>
      </c>
      <c r="O11">
        <v>22</v>
      </c>
      <c r="P11" s="5">
        <f>SUM(D4:D15)/12</f>
        <v>49.644482239921651</v>
      </c>
    </row>
    <row r="12" spans="1:16" x14ac:dyDescent="0.25">
      <c r="A12" s="1" t="s">
        <v>103</v>
      </c>
      <c r="B12">
        <v>140</v>
      </c>
      <c r="C12">
        <v>61</v>
      </c>
      <c r="D12" s="17">
        <f t="shared" si="0"/>
        <v>43.571428571428569</v>
      </c>
      <c r="E12">
        <v>106</v>
      </c>
      <c r="F12">
        <v>40</v>
      </c>
      <c r="G12" s="17">
        <f t="shared" si="1"/>
        <v>37.735849056603776</v>
      </c>
      <c r="H12">
        <v>79</v>
      </c>
      <c r="I12">
        <v>30</v>
      </c>
      <c r="J12" s="17">
        <f t="shared" si="2"/>
        <v>37.974683544303801</v>
      </c>
      <c r="K12">
        <v>78</v>
      </c>
      <c r="L12">
        <v>35</v>
      </c>
      <c r="M12">
        <v>44.9</v>
      </c>
      <c r="O12">
        <v>23</v>
      </c>
      <c r="P12" s="5">
        <f>SUM(G4:G15)/12</f>
        <v>35.189781193077749</v>
      </c>
    </row>
    <row r="13" spans="1:16" x14ac:dyDescent="0.25">
      <c r="A13" s="1" t="s">
        <v>104</v>
      </c>
      <c r="B13">
        <v>110</v>
      </c>
      <c r="C13">
        <v>55</v>
      </c>
      <c r="D13" s="17">
        <f t="shared" si="0"/>
        <v>50</v>
      </c>
      <c r="E13">
        <v>110</v>
      </c>
      <c r="F13">
        <v>58</v>
      </c>
      <c r="G13" s="17">
        <f t="shared" si="1"/>
        <v>52.72727272727272</v>
      </c>
      <c r="H13">
        <v>69</v>
      </c>
      <c r="I13">
        <v>21</v>
      </c>
      <c r="J13" s="17">
        <f t="shared" si="2"/>
        <v>30.434782608695656</v>
      </c>
      <c r="K13">
        <v>69</v>
      </c>
      <c r="L13">
        <v>12</v>
      </c>
      <c r="M13">
        <v>17.399999999999999</v>
      </c>
      <c r="O13">
        <v>24</v>
      </c>
      <c r="P13" s="5">
        <f>SUM(J4:J15)/12</f>
        <v>35.256297420942595</v>
      </c>
    </row>
    <row r="14" spans="1:16" x14ac:dyDescent="0.25">
      <c r="A14" s="1" t="s">
        <v>105</v>
      </c>
      <c r="B14">
        <v>97</v>
      </c>
      <c r="C14">
        <v>51</v>
      </c>
      <c r="D14" s="17">
        <f t="shared" si="0"/>
        <v>52.577319587628871</v>
      </c>
      <c r="E14">
        <v>79</v>
      </c>
      <c r="F14">
        <v>32</v>
      </c>
      <c r="G14" s="17">
        <f t="shared" si="1"/>
        <v>40.506329113924053</v>
      </c>
      <c r="H14">
        <v>70</v>
      </c>
      <c r="I14">
        <v>22</v>
      </c>
      <c r="J14" s="17">
        <f t="shared" si="2"/>
        <v>31.428571428571427</v>
      </c>
      <c r="O14">
        <v>25</v>
      </c>
      <c r="P14" s="5">
        <f>SUM(M4:M8)/5</f>
        <v>37.14</v>
      </c>
    </row>
    <row r="15" spans="1:16" x14ac:dyDescent="0.25">
      <c r="A15" s="1" t="s">
        <v>106</v>
      </c>
      <c r="B15">
        <v>58</v>
      </c>
      <c r="C15">
        <v>28</v>
      </c>
      <c r="D15" s="17">
        <f t="shared" si="0"/>
        <v>48.275862068965516</v>
      </c>
      <c r="E15">
        <v>27</v>
      </c>
      <c r="F15">
        <v>2</v>
      </c>
      <c r="G15" s="17">
        <f t="shared" si="1"/>
        <v>7.4074074074074066</v>
      </c>
      <c r="H15">
        <v>40</v>
      </c>
      <c r="I15">
        <v>9</v>
      </c>
      <c r="J15" s="17">
        <v>23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4753-EB47-46B8-B051-D337A94E6E69}">
  <dimension ref="A1:K46"/>
  <sheetViews>
    <sheetView workbookViewId="0">
      <selection activeCell="J14" sqref="J14"/>
    </sheetView>
  </sheetViews>
  <sheetFormatPr defaultRowHeight="15" x14ac:dyDescent="0.25"/>
  <cols>
    <col min="1" max="1" width="30.28515625" customWidth="1"/>
    <col min="2" max="2" width="18.140625" customWidth="1"/>
    <col min="3" max="3" width="21.7109375" customWidth="1"/>
    <col min="4" max="4" width="15.85546875" customWidth="1"/>
    <col min="5" max="10" width="17.7109375" style="7" customWidth="1"/>
    <col min="11" max="11" width="16.5703125" customWidth="1"/>
    <col min="12" max="12" width="23.5703125" customWidth="1"/>
  </cols>
  <sheetData>
    <row r="1" spans="1:11" x14ac:dyDescent="0.25">
      <c r="A1" s="1" t="s">
        <v>65</v>
      </c>
      <c r="B1" s="1">
        <v>3857</v>
      </c>
    </row>
    <row r="2" spans="1:11" x14ac:dyDescent="0.25">
      <c r="A2" s="1"/>
    </row>
    <row r="3" spans="1:11" ht="45" x14ac:dyDescent="0.25">
      <c r="A3" s="1"/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</row>
    <row r="4" spans="1:11" x14ac:dyDescent="0.25">
      <c r="A4" s="1"/>
      <c r="B4" s="8"/>
      <c r="C4" s="8"/>
      <c r="D4" s="1" t="s">
        <v>74</v>
      </c>
      <c r="E4">
        <v>829</v>
      </c>
      <c r="F4" s="6">
        <f>SUM(E4/B1)*100</f>
        <v>21.493388644023852</v>
      </c>
      <c r="G4">
        <v>547</v>
      </c>
      <c r="H4" s="10">
        <v>55.1</v>
      </c>
      <c r="I4"/>
      <c r="J4" s="10"/>
    </row>
    <row r="5" spans="1:11" x14ac:dyDescent="0.25">
      <c r="A5" s="1"/>
      <c r="D5" s="1" t="s">
        <v>73</v>
      </c>
      <c r="E5">
        <v>769</v>
      </c>
      <c r="F5" s="6">
        <f>SUM(E5/B1)*100</f>
        <v>19.937775473165672</v>
      </c>
      <c r="G5">
        <v>419</v>
      </c>
      <c r="H5" s="10">
        <v>54.5</v>
      </c>
      <c r="I5"/>
      <c r="J5" s="10"/>
      <c r="K5" s="7"/>
    </row>
    <row r="6" spans="1:11" x14ac:dyDescent="0.25">
      <c r="A6" s="1"/>
      <c r="B6" s="6"/>
      <c r="C6" s="6"/>
      <c r="D6" s="1" t="s">
        <v>72</v>
      </c>
      <c r="E6">
        <v>1121</v>
      </c>
      <c r="F6" s="6">
        <f>SUM(E6/B1)*100</f>
        <v>29.064039408866993</v>
      </c>
      <c r="G6">
        <v>679</v>
      </c>
      <c r="H6" s="10">
        <v>60.6</v>
      </c>
      <c r="I6"/>
      <c r="J6" s="10"/>
    </row>
    <row r="7" spans="1:11" x14ac:dyDescent="0.25">
      <c r="A7" s="1"/>
      <c r="D7" s="1" t="s">
        <v>76</v>
      </c>
      <c r="E7">
        <v>800</v>
      </c>
      <c r="F7" s="6">
        <f>SUM(E7/B1)*100</f>
        <v>20.741508944775731</v>
      </c>
      <c r="G7">
        <v>593</v>
      </c>
      <c r="H7" s="10">
        <v>74.099999999999994</v>
      </c>
      <c r="I7"/>
      <c r="J7" s="10"/>
    </row>
    <row r="8" spans="1:11" x14ac:dyDescent="0.25">
      <c r="A8" s="1"/>
      <c r="B8" s="6"/>
      <c r="D8" s="1" t="s">
        <v>107</v>
      </c>
      <c r="E8" s="7">
        <v>1060</v>
      </c>
      <c r="G8" s="7">
        <v>395</v>
      </c>
      <c r="H8" s="10">
        <v>37.299999999999997</v>
      </c>
      <c r="I8"/>
      <c r="J8" s="10"/>
    </row>
    <row r="9" spans="1:11" x14ac:dyDescent="0.25">
      <c r="A9" s="1"/>
      <c r="D9" s="1"/>
    </row>
    <row r="10" spans="1:11" x14ac:dyDescent="0.25">
      <c r="A10" s="1"/>
      <c r="B10" s="6"/>
    </row>
    <row r="11" spans="1:11" x14ac:dyDescent="0.25">
      <c r="A11" s="1"/>
    </row>
    <row r="12" spans="1:11" x14ac:dyDescent="0.25">
      <c r="A12" s="1"/>
    </row>
    <row r="13" spans="1:11" x14ac:dyDescent="0.25">
      <c r="A13" s="1"/>
      <c r="B13" s="1"/>
      <c r="C13" s="1"/>
    </row>
    <row r="14" spans="1:11" x14ac:dyDescent="0.25">
      <c r="A14" s="1"/>
    </row>
    <row r="15" spans="1:11" x14ac:dyDescent="0.25">
      <c r="A15" s="1"/>
      <c r="B15" s="6"/>
    </row>
    <row r="16" spans="1:11" x14ac:dyDescent="0.25">
      <c r="A16" s="1"/>
    </row>
    <row r="17" spans="1:3" x14ac:dyDescent="0.25">
      <c r="A17" s="1"/>
      <c r="B17" s="6"/>
    </row>
    <row r="18" spans="1:3" x14ac:dyDescent="0.25">
      <c r="A18" s="1"/>
    </row>
    <row r="19" spans="1:3" x14ac:dyDescent="0.25">
      <c r="A19" s="1"/>
      <c r="B19" s="6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1"/>
      <c r="C22" s="1"/>
    </row>
    <row r="23" spans="1:3" x14ac:dyDescent="0.25">
      <c r="A23" s="1"/>
    </row>
    <row r="24" spans="1:3" x14ac:dyDescent="0.25">
      <c r="A24" s="1"/>
      <c r="B24" s="6"/>
    </row>
    <row r="25" spans="1:3" x14ac:dyDescent="0.25">
      <c r="A25" s="1"/>
    </row>
    <row r="26" spans="1:3" x14ac:dyDescent="0.25">
      <c r="A26" s="1"/>
      <c r="B26" s="6"/>
    </row>
    <row r="27" spans="1:3" x14ac:dyDescent="0.25">
      <c r="A27" s="1"/>
    </row>
    <row r="28" spans="1:3" x14ac:dyDescent="0.25">
      <c r="A28" s="1"/>
      <c r="B28" s="6"/>
    </row>
    <row r="29" spans="1:3" x14ac:dyDescent="0.25">
      <c r="A29" s="1"/>
    </row>
    <row r="30" spans="1:3" x14ac:dyDescent="0.25">
      <c r="A30" s="1"/>
    </row>
    <row r="31" spans="1:3" x14ac:dyDescent="0.25">
      <c r="A31" s="1"/>
      <c r="B31" s="1"/>
      <c r="C31" s="1"/>
    </row>
    <row r="32" spans="1:3" x14ac:dyDescent="0.25">
      <c r="A32" s="1"/>
    </row>
    <row r="33" spans="1:3" x14ac:dyDescent="0.25">
      <c r="A33" s="1"/>
      <c r="B33" s="6"/>
    </row>
    <row r="34" spans="1:3" x14ac:dyDescent="0.25">
      <c r="A34" s="1"/>
    </row>
    <row r="35" spans="1:3" x14ac:dyDescent="0.25">
      <c r="A35" s="1"/>
      <c r="B35" s="6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  <c r="B40" s="1"/>
      <c r="C40" s="1"/>
    </row>
    <row r="41" spans="1:3" x14ac:dyDescent="0.25">
      <c r="A41" s="1"/>
    </row>
    <row r="42" spans="1:3" x14ac:dyDescent="0.25">
      <c r="A42" s="1"/>
      <c r="B42" s="6"/>
    </row>
    <row r="43" spans="1:3" x14ac:dyDescent="0.25">
      <c r="A43" s="1"/>
    </row>
    <row r="44" spans="1:3" x14ac:dyDescent="0.25">
      <c r="A44" s="1"/>
      <c r="B44" s="6"/>
    </row>
    <row r="45" spans="1:3" x14ac:dyDescent="0.25">
      <c r="A45" s="1"/>
    </row>
    <row r="46" spans="1:3" x14ac:dyDescent="0.25">
      <c r="A4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Enquiries</vt:lpstr>
      <vt:lpstr>Conversions</vt:lpstr>
      <vt:lpstr>Profit</vt:lpstr>
      <vt:lpstr>Profit Per</vt:lpstr>
      <vt:lpstr>JAN per sales rep</vt:lpstr>
      <vt:lpstr>FEB per sales rep</vt:lpstr>
      <vt:lpstr>MARCH per sales rep</vt:lpstr>
      <vt:lpstr>APRIL per sales rep</vt:lpstr>
      <vt:lpstr>MAY per sales rep</vt:lpstr>
      <vt:lpstr>JUNE per sales rep</vt:lpstr>
      <vt:lpstr>JULY per sales rep </vt:lpstr>
      <vt:lpstr>AUG per sales rep</vt:lpstr>
      <vt:lpstr>SEPT per sales rep</vt:lpstr>
      <vt:lpstr>OCT per sales rep</vt:lpstr>
      <vt:lpstr>NOV per sales rep</vt:lpstr>
      <vt:lpstr>DEC per sales rep</vt:lpstr>
      <vt:lpstr>SALES INBOX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du Plessis</dc:creator>
  <cp:keywords/>
  <dc:description/>
  <cp:lastModifiedBy>Johan du Plessis</cp:lastModifiedBy>
  <cp:revision/>
  <dcterms:created xsi:type="dcterms:W3CDTF">2023-04-19T09:55:54Z</dcterms:created>
  <dcterms:modified xsi:type="dcterms:W3CDTF">2025-12-08T10:30:51Z</dcterms:modified>
  <cp:category/>
  <cp:contentStatus/>
</cp:coreProperties>
</file>